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dab576412240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menvatting" sheetId="1" r:id="R2d064a3eab95400b"/>
    <x:sheet xmlns:r="http://schemas.openxmlformats.org/officeDocument/2006/relationships" name="Normen" sheetId="2" r:id="R89286081e59a4138"/>
    <x:sheet xmlns:r="http://schemas.openxmlformats.org/officeDocument/2006/relationships" name="Woninggroepen" sheetId="3" r:id="R8179253b98f94214"/>
    <x:sheet xmlns:r="http://schemas.openxmlformats.org/officeDocument/2006/relationships" name="Huishoudtypen" sheetId="4" r:id="R3113e71cc48f4771"/>
    <x:sheet xmlns:r="http://schemas.openxmlformats.org/officeDocument/2006/relationships" name="Financiering" sheetId="5" r:id="R18174cc8ea794450"/>
    <x:sheet xmlns:r="http://schemas.openxmlformats.org/officeDocument/2006/relationships" name="Bronnen en uitleg" sheetId="6" r:id="Rbb725186059d4c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dd-mm-yyyy"/>
    <x:numFmt numFmtId="201" formatCode="0.0%"/>
    <x:numFmt numFmtId="202" formatCode="€ #,##0"/>
    <x:numFmt numFmtId="203" formatCode="#,##0"/>
    <x:numFmt numFmtId="204" formatCode="0"/>
  </x:numFmts>
  <x:fonts count="10">
    <x:font>
      <x:sz val="11"/>
      <x:name val="Carlito"/>
    </x:font>
    <x:font>
      <x:sz val="10"/>
      <x:color rgb="FF1F2937"/>
      <x:name val="Arial"/>
    </x:font>
    <x:font>
      <x:b/>
      <x:sz val="16"/>
      <x:color rgb="FFFFFFFF"/>
      <x:name val="Arial"/>
    </x:font>
    <x:font>
      <x:b/>
      <x:sz val="10"/>
      <x:color rgb="FF9C2F1F"/>
      <x:name val="Arial"/>
    </x:font>
    <x:font>
      <x:b/>
      <x:sz val="11"/>
      <x:color rgb="FFFFFFFF"/>
      <x:name val="Arial"/>
    </x:font>
    <x:font>
      <x:b/>
      <x:sz val="10"/>
      <x:color rgb="FF17324D"/>
      <x:name val="Arial"/>
    </x:font>
    <x:font>
      <x:b/>
      <x:sz val="9"/>
      <x:color rgb="FFFFFFFF"/>
      <x:name val="Arial"/>
    </x:font>
    <x:font>
      <x:b/>
      <x:sz val="9"/>
      <x:color rgb="FF17324D"/>
      <x:name val="Arial"/>
    </x:font>
    <x:font>
      <x:sz val="9"/>
      <x:color rgb="FF4B5563"/>
      <x:name val="Arial"/>
    </x:font>
    <x:font>
      <x:b/>
      <x:sz val="10"/>
      <x:color rgb="FF2F6690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CE4D6"/>
      </x:patternFill>
    </x:fill>
    <x:fill>
      <x:patternFill patternType="solid">
        <x:fgColor rgb="FF2F6690"/>
      </x:patternFill>
    </x:fill>
    <x:fill>
      <x:patternFill patternType="solid">
        <x:fgColor rgb="FFFFF2CC"/>
      </x:patternFill>
    </x:fill>
    <x:fill>
      <x:patternFill patternType="solid">
        <x:fgColor rgb="FFEAF2F8"/>
      </x:patternFill>
    </x:fill>
    <x:fill>
      <x:patternFill patternType="solid">
        <x:fgColor rgb="FFF3F5F7"/>
      </x:patternFill>
    </x:fill>
    <x:fill>
      <x:patternFill patternType="solid">
        <x:fgColor rgb="FFDCEAF5"/>
      </x:patternFill>
    </x:fill>
  </x:fills>
  <x:borders count="28">
    <x:border/>
    <x:border>
      <x:left style="thin">
        <x:color rgb="FFD6B656"/>
      </x:left>
      <x:right style="thin">
        <x:color rgb="FFD6B656"/>
      </x:right>
      <x:top style="thin">
        <x:color rgb="FFD6B656"/>
      </x:top>
    </x:border>
    <x:border>
      <x:left style="thin">
        <x:color rgb="FFD6B656"/>
      </x:left>
      <x:right style="thin">
        <x:color rgb="FFD6B656"/>
      </x:right>
    </x:border>
    <x:border>
      <x:left style="thin">
        <x:color rgb="FFD6B656"/>
      </x:left>
      <x:right style="thin">
        <x:color rgb="FFD6B656"/>
      </x:right>
      <x:bottom style="thin">
        <x:color rgb="FFD6B656"/>
      </x:bottom>
    </x:border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left style="thin">
        <x:color rgb="FFD6B656"/>
      </x:left>
      <x:top style="thin">
        <x:color rgb="FFD6B656"/>
      </x:top>
    </x:border>
    <x:border>
      <x:top style="thin">
        <x:color rgb="FFD6B656"/>
      </x:top>
    </x:border>
    <x:border>
      <x:right style="thin">
        <x:color rgb="FFD6B656"/>
      </x:right>
      <x:top style="thin">
        <x:color rgb="FFD6B656"/>
      </x:top>
    </x:border>
    <x:border>
      <x:left style="thin">
        <x:color rgb="FFD6B656"/>
      </x:left>
    </x:border>
    <x:border>
      <x:right style="thin">
        <x:color rgb="FFD6B656"/>
      </x:right>
    </x:border>
    <x:border>
      <x:left style="thin">
        <x:color rgb="FFD6B656"/>
      </x:left>
      <x:bottom style="thin">
        <x:color rgb="FFD6B656"/>
      </x:bottom>
    </x:border>
    <x:border>
      <x:bottom style="thin">
        <x:color rgb="FFD6B656"/>
      </x:bottom>
    </x:border>
    <x:border>
      <x:right style="thin">
        <x:color rgb="FFD6B656"/>
      </x:right>
      <x:bottom style="thin">
        <x:color rgb="FFD6B656"/>
      </x:bottom>
    </x:border>
    <x:border>
      <x:left style="thin">
        <x:color rgb="FFD6B656"/>
      </x:left>
      <x:right style="thin">
        <x:color rgb="FFD6B656"/>
      </x:right>
      <x:top style="thin">
        <x:color rgb="FFD6B656"/>
      </x:top>
      <x:bottom style="thin">
        <x:color rgb="FFD6B656"/>
      </x:bottom>
    </x:border>
    <x:border>
      <x:left style="thin">
        <x:color rgb="FFD9E1E8"/>
      </x:left>
      <x:right style="thin">
        <x:color rgb="FFD9E1E8"/>
      </x:right>
      <x:top style="thin">
        <x:color rgb="FFD9E1E8"/>
      </x:top>
    </x:border>
    <x:border>
      <x:left style="thin">
        <x:color rgb="FFD9E1E8"/>
      </x:left>
      <x:right style="thin">
        <x:color rgb="FFD9E1E8"/>
      </x:right>
    </x:border>
    <x:border>
      <x:left style="thin">
        <x:color rgb="FFD9E1E8"/>
      </x:left>
      <x:right style="thin">
        <x:color rgb="FFD9E1E8"/>
      </x:right>
      <x:bottom style="thin">
        <x:color rgb="FFD9E1E8"/>
      </x:bottom>
    </x:border>
    <x:border>
      <x:left style="thin">
        <x:color rgb="FFD9E1E8"/>
      </x:left>
      <x:top style="thin">
        <x:color rgb="FFD9E1E8"/>
      </x:top>
    </x:border>
    <x:border>
      <x:top style="thin">
        <x:color rgb="FFD9E1E8"/>
      </x:top>
    </x:border>
    <x:border>
      <x:right style="thin">
        <x:color rgb="FFD9E1E8"/>
      </x:right>
      <x:top style="thin">
        <x:color rgb="FFD9E1E8"/>
      </x:top>
    </x:border>
    <x:border>
      <x:left style="thin">
        <x:color rgb="FFD9E1E8"/>
      </x:left>
    </x:border>
    <x:border>
      <x:right style="thin">
        <x:color rgb="FFD9E1E8"/>
      </x:right>
    </x:border>
    <x:border>
      <x:left style="thin">
        <x:color rgb="FFD9E1E8"/>
      </x:left>
      <x:bottom style="thin">
        <x:color rgb="FFD9E1E8"/>
      </x:bottom>
    </x:border>
    <x:border>
      <x:bottom style="thin">
        <x:color rgb="FFD9E1E8"/>
      </x:bottom>
    </x:border>
    <x:border>
      <x:right style="thin">
        <x:color rgb="FFD9E1E8"/>
      </x:right>
      <x:bottom style="thin">
        <x:color rgb="FFD9E1E8"/>
      </x:bottom>
    </x:border>
    <x:border>
      <x:left style="thin">
        <x:color rgb="FFD9E1E8"/>
      </x:left>
      <x:right style="thin">
        <x:color rgb="FFD9E1E8"/>
      </x:right>
      <x:top style="thin">
        <x:color rgb="FFD9E1E8"/>
      </x:top>
      <x:bottom style="thin">
        <x:color rgb="FFD9E1E8"/>
      </x:bottom>
    </x:border>
  </x:borders>
  <x:cellStyleXfs count="1">
    <x:xf numFmtId="0" fontId="0" fillId="0" borderId="0"/>
  </x:cellStyleXfs>
  <x:cellXfs count="27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" xfId="0" applyNumberFormat="1" applyFont="1" applyFill="1" applyBorder="1"/>
    <x:xf numFmtId="0" fontId="1" fillId="5" borderId="2" xfId="0" applyNumberFormat="1" applyFont="1" applyFill="1" applyBorder="1"/>
    <x:xf numFmtId="0" fontId="1" fillId="5" borderId="3" xfId="0" applyNumberFormat="1" applyFont="1" applyFill="1" applyBorder="1"/>
    <x:xf numFmtId="200" fontId="1" fillId="5" borderId="2" xfId="0" applyNumberFormat="1" applyFont="1" applyFill="1" applyBorder="1"/>
    <x:xf numFmtId="201" fontId="1" fillId="5" borderId="3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4" xfId="0" applyNumberFormat="1" applyFont="1" applyFill="1" applyBorder="1" applyAlignment="1">
      <x:alignment vertical="center" wrapText="1"/>
    </x:xf>
    <x:xf numFmtId="0" fontId="6" fillId="2" borderId="5" xfId="0" applyNumberFormat="1" applyFont="1" applyFill="1" applyBorder="1" applyAlignment="1">
      <x:alignment vertical="center" wrapText="1"/>
    </x:xf>
    <x:xf numFmtId="0" fontId="6" fillId="2" borderId="6" xfId="0" applyNumberFormat="1" applyFont="1" applyFill="1" applyBorder="1" applyAlignment="1">
      <x:alignment vertical="center" wrapText="1"/>
    </x:xf>
    <x:xf numFmtId="0" fontId="1" fillId="5" borderId="7" xfId="0" applyNumberFormat="1" applyFont="1" applyFill="1" applyBorder="1"/>
    <x:xf numFmtId="0" fontId="1" fillId="5" borderId="8" xfId="0" applyNumberFormat="1" applyFont="1" applyFill="1" applyBorder="1"/>
    <x:xf numFmtId="0" fontId="1" fillId="5" borderId="9" xfId="0" applyNumberFormat="1" applyFont="1" applyFill="1" applyBorder="1"/>
    <x:xf numFmtId="0" fontId="1" fillId="5" borderId="10" xfId="0" applyNumberFormat="1" applyFont="1" applyFill="1" applyBorder="1"/>
    <x:xf numFmtId="0" fontId="1" fillId="5" borderId="11" xfId="0" applyNumberFormat="1" applyFont="1" applyFill="1" applyBorder="1"/>
    <x:xf numFmtId="0" fontId="1" fillId="5" borderId="12" xfId="0" applyNumberFormat="1" applyFont="1" applyFill="1" applyBorder="1"/>
    <x:xf numFmtId="0" fontId="1" fillId="5" borderId="13" xfId="0" applyNumberFormat="1" applyFont="1" applyFill="1" applyBorder="1"/>
    <x:xf numFmtId="0" fontId="1" fillId="5" borderId="14" xfId="0" applyNumberFormat="1" applyFont="1" applyFill="1" applyBorder="1"/>
    <x:xf numFmtId="202" fontId="1" fillId="5" borderId="8" xfId="0" applyNumberFormat="1" applyFont="1" applyFill="1" applyBorder="1"/>
    <x:xf numFmtId="202" fontId="1" fillId="5" borderId="9" xfId="0" applyNumberFormat="1" applyFont="1" applyFill="1" applyBorder="1"/>
    <x:xf numFmtId="202" fontId="1" fillId="5" borderId="0" xfId="0" applyNumberFormat="1" applyFont="1" applyFill="1" applyBorder="1"/>
    <x:xf numFmtId="202" fontId="1" fillId="5" borderId="11" xfId="0" applyNumberFormat="1" applyFont="1" applyFill="1" applyBorder="1"/>
    <x:xf numFmtId="202" fontId="1" fillId="5" borderId="13" xfId="0" applyNumberFormat="1" applyFont="1" applyFill="1" applyBorder="1"/>
    <x:xf numFmtId="202" fontId="1" fillId="5" borderId="14" xfId="0" applyNumberFormat="1" applyFont="1" applyFill="1" applyBorder="1"/>
    <x:xf numFmtId="0" fontId="1" fillId="5" borderId="15" xfId="0" applyNumberFormat="1" applyFont="1" applyFill="1" applyBorder="1"/>
    <x:xf numFmtId="0" fontId="1" fillId="6" borderId="0" xfId="0" applyNumberFormat="1" applyFont="1" applyFill="1" applyBorder="1"/>
    <x:xf numFmtId="0" fontId="1" fillId="6" borderId="16" xfId="0" applyNumberFormat="1" applyFont="1" applyFill="1" applyBorder="1"/>
    <x:xf numFmtId="0" fontId="1" fillId="6" borderId="17" xfId="0" applyNumberFormat="1" applyFont="1" applyFill="1" applyBorder="1"/>
    <x:xf numFmtId="0" fontId="1" fillId="6" borderId="18" xfId="0" applyNumberFormat="1" applyFont="1" applyFill="1" applyBorder="1"/>
    <x:xf numFmtId="202" fontId="1" fillId="6" borderId="17" xfId="0" applyNumberFormat="1" applyFont="1" applyFill="1" applyBorder="1"/>
    <x:xf numFmtId="202" fontId="1" fillId="6" borderId="18" xfId="0" applyNumberFormat="1" applyFont="1" applyFill="1" applyBorder="1"/>
    <x:xf numFmtId="0" fontId="7" fillId="0" borderId="0" xfId="0" applyNumberFormat="1" applyFont="1" applyFill="1" applyBorder="1"/>
    <x:xf numFmtId="0" fontId="7" fillId="5" borderId="0" xfId="0" applyNumberFormat="1" applyFont="1" applyFill="1" applyBorder="1"/>
    <x:xf numFmtId="0" fontId="7" fillId="6" borderId="0" xfId="0" applyNumberFormat="1" applyFont="1" applyFill="1" applyBorder="1"/>
    <x:xf numFmtId="0" fontId="7" fillId="7" borderId="0" xfId="0" applyNumberFormat="1" applyFont="1" applyFill="1" applyBorder="1"/>
    <x:xf numFmtId="0" fontId="1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wrapText="1"/>
    </x:xf>
    <x:xf numFmtId="0" fontId="1" fillId="6" borderId="19" xfId="0" applyNumberFormat="1" applyFont="1" applyFill="1" applyBorder="1"/>
    <x:xf numFmtId="0" fontId="1" fillId="6" borderId="20" xfId="0" applyNumberFormat="1" applyFont="1" applyFill="1" applyBorder="1"/>
    <x:xf numFmtId="0" fontId="1" fillId="6" borderId="21" xfId="0" applyNumberFormat="1" applyFont="1" applyFill="1" applyBorder="1"/>
    <x:xf numFmtId="0" fontId="1" fillId="6" borderId="22" xfId="0" applyNumberFormat="1" applyFont="1" applyFill="1" applyBorder="1"/>
    <x:xf numFmtId="0" fontId="1" fillId="6" borderId="23" xfId="0" applyNumberFormat="1" applyFont="1" applyFill="1" applyBorder="1"/>
    <x:xf numFmtId="0" fontId="1" fillId="6" borderId="24" xfId="0" applyNumberFormat="1" applyFont="1" applyFill="1" applyBorder="1"/>
    <x:xf numFmtId="0" fontId="1" fillId="6" borderId="25" xfId="0" applyNumberFormat="1" applyFont="1" applyFill="1" applyBorder="1"/>
    <x:xf numFmtId="0" fontId="1" fillId="6" borderId="26" xfId="0" applyNumberFormat="1" applyFont="1" applyFill="1" applyBorder="1"/>
    <x:xf numFmtId="203" fontId="1" fillId="5" borderId="8" xfId="0" applyNumberFormat="1" applyFont="1" applyFill="1" applyBorder="1"/>
    <x:xf numFmtId="203" fontId="1" fillId="5" borderId="9" xfId="0" applyNumberFormat="1" applyFont="1" applyFill="1" applyBorder="1"/>
    <x:xf numFmtId="203" fontId="1" fillId="6" borderId="19" xfId="0" applyNumberFormat="1" applyFont="1" applyFill="1" applyBorder="1"/>
    <x:xf numFmtId="203" fontId="1" fillId="6" borderId="20" xfId="0" applyNumberFormat="1" applyFont="1" applyFill="1" applyBorder="1"/>
    <x:xf numFmtId="203" fontId="1" fillId="5" borderId="0" xfId="0" applyNumberFormat="1" applyFont="1" applyFill="1" applyBorder="1"/>
    <x:xf numFmtId="203" fontId="1" fillId="5" borderId="11" xfId="0" applyNumberFormat="1" applyFont="1" applyFill="1" applyBorder="1"/>
    <x:xf numFmtId="203" fontId="1" fillId="6" borderId="22" xfId="0" applyNumberFormat="1" applyFont="1" applyFill="1" applyBorder="1"/>
    <x:xf numFmtId="203" fontId="1" fillId="6" borderId="0" xfId="0" applyNumberFormat="1" applyFont="1" applyFill="1" applyBorder="1"/>
    <x:xf numFmtId="203" fontId="1" fillId="5" borderId="13" xfId="0" applyNumberFormat="1" applyFont="1" applyFill="1" applyBorder="1"/>
    <x:xf numFmtId="203" fontId="1" fillId="5" borderId="14" xfId="0" applyNumberFormat="1" applyFont="1" applyFill="1" applyBorder="1"/>
    <x:xf numFmtId="203" fontId="1" fillId="6" borderId="24" xfId="0" applyNumberFormat="1" applyFont="1" applyFill="1" applyBorder="1"/>
    <x:xf numFmtId="203" fontId="1" fillId="6" borderId="25" xfId="0" applyNumberFormat="1" applyFont="1" applyFill="1" applyBorder="1"/>
    <x:xf numFmtId="203" fontId="1" fillId="0" borderId="0" xfId="0" applyNumberFormat="1" applyFont="1" applyFill="1" applyBorder="1"/>
    <x:xf numFmtId="201" fontId="1" fillId="6" borderId="21" xfId="0" applyNumberFormat="1" applyFont="1" applyFill="1" applyBorder="1"/>
    <x:xf numFmtId="201" fontId="1" fillId="6" borderId="23" xfId="0" applyNumberFormat="1" applyFont="1" applyFill="1" applyBorder="1"/>
    <x:xf numFmtId="201" fontId="1" fillId="6" borderId="26" xfId="0" applyNumberFormat="1" applyFont="1" applyFill="1" applyBorder="1"/>
    <x:xf numFmtId="201" fontId="1" fillId="0" borderId="0" xfId="0" applyNumberFormat="1" applyFont="1" applyFill="1" applyBorder="1"/>
    <x:xf numFmtId="0" fontId="1" fillId="8" borderId="0" xfId="0" applyNumberFormat="1" applyFont="1" applyFill="1" applyBorder="1"/>
    <x:xf numFmtId="203" fontId="1" fillId="8" borderId="0" xfId="0" applyNumberFormat="1" applyFont="1" applyFill="1" applyBorder="1"/>
    <x:xf numFmtId="201" fontId="1" fillId="8" borderId="0" xfId="0" applyNumberFormat="1" applyFont="1" applyFill="1" applyBorder="1"/>
    <x:xf numFmtId="0" fontId="5" fillId="8" borderId="0" xfId="0" applyNumberFormat="1" applyFont="1" applyFill="1" applyBorder="1"/>
    <x:xf numFmtId="203" fontId="5" fillId="8" borderId="0" xfId="0" applyNumberFormat="1" applyFont="1" applyFill="1" applyBorder="1"/>
    <x:xf numFmtId="201" fontId="5" fillId="8" borderId="0" xfId="0" applyNumberFormat="1" applyFont="1" applyFill="1" applyBorder="1"/>
    <x:xf numFmtId="202" fontId="1" fillId="6" borderId="19" xfId="0" applyNumberFormat="1" applyFont="1" applyFill="1" applyBorder="1"/>
    <x:xf numFmtId="202" fontId="1" fillId="6" borderId="20" xfId="0" applyNumberFormat="1" applyFont="1" applyFill="1" applyBorder="1"/>
    <x:xf numFmtId="202" fontId="1" fillId="6" borderId="22" xfId="0" applyNumberFormat="1" applyFont="1" applyFill="1" applyBorder="1"/>
    <x:xf numFmtId="202" fontId="1" fillId="6" borderId="0" xfId="0" applyNumberFormat="1" applyFont="1" applyFill="1" applyBorder="1"/>
    <x:xf numFmtId="202" fontId="1" fillId="6" borderId="24" xfId="0" applyNumberFormat="1" applyFont="1" applyFill="1" applyBorder="1"/>
    <x:xf numFmtId="202" fontId="1" fillId="6" borderId="25" xfId="0" applyNumberFormat="1" applyFont="1" applyFill="1" applyBorder="1"/>
    <x:xf numFmtId="204" fontId="1" fillId="5" borderId="9" xfId="0" applyNumberFormat="1" applyFont="1" applyFill="1" applyBorder="1"/>
    <x:xf numFmtId="204" fontId="1" fillId="5" borderId="11" xfId="0" applyNumberFormat="1" applyFont="1" applyFill="1" applyBorder="1"/>
    <x:xf numFmtId="204" fontId="1" fillId="5" borderId="14" xfId="0" applyNumberFormat="1" applyFont="1" applyFill="1" applyBorder="1"/>
    <x:xf numFmtId="204" fontId="1" fillId="6" borderId="20" xfId="0" applyNumberFormat="1" applyFont="1" applyFill="1" applyBorder="1"/>
    <x:xf numFmtId="204" fontId="1" fillId="6" borderId="0" xfId="0" applyNumberFormat="1" applyFont="1" applyFill="1" applyBorder="1"/>
    <x:xf numFmtId="204" fontId="1" fillId="6" borderId="25" xfId="0" applyNumberFormat="1" applyFont="1" applyFill="1" applyBorder="1"/>
    <x:xf numFmtId="201" fontId="1" fillId="6" borderId="20" xfId="0" applyNumberFormat="1" applyFont="1" applyFill="1" applyBorder="1"/>
    <x:xf numFmtId="201" fontId="1" fillId="6" borderId="0" xfId="0" applyNumberFormat="1" applyFont="1" applyFill="1" applyBorder="1"/>
    <x:xf numFmtId="201" fontId="1" fillId="6" borderId="25" xfId="0" applyNumberFormat="1" applyFont="1" applyFill="1" applyBorder="1"/>
    <x:xf numFmtId="204" fontId="1" fillId="6" borderId="21" xfId="0" applyNumberFormat="1" applyFont="1" applyFill="1" applyBorder="1"/>
    <x:xf numFmtId="204" fontId="1" fillId="6" borderId="23" xfId="0" applyNumberFormat="1" applyFont="1" applyFill="1" applyBorder="1"/>
    <x:xf numFmtId="204" fontId="1" fillId="6" borderId="26" xfId="0" applyNumberFormat="1" applyFont="1" applyFill="1" applyBorder="1"/>
    <x:xf numFmtId="0" fontId="1" fillId="6" borderId="27" xfId="0" applyNumberFormat="1" applyFont="1" applyFill="1" applyBorder="1"/>
    <x:xf numFmtId="203" fontId="1" fillId="5" borderId="1" xfId="0" applyNumberFormat="1" applyFont="1" applyFill="1" applyBorder="1"/>
    <x:xf numFmtId="203" fontId="1" fillId="5" borderId="2" xfId="0" applyNumberFormat="1" applyFont="1" applyFill="1" applyBorder="1"/>
    <x:xf numFmtId="202" fontId="1" fillId="5" borderId="2" xfId="0" applyNumberFormat="1" applyFont="1" applyFill="1" applyBorder="1"/>
    <x:xf numFmtId="202" fontId="1" fillId="5" borderId="3" xfId="0" applyNumberFormat="1" applyFont="1" applyFill="1" applyBorder="1"/>
    <x:xf numFmtId="202" fontId="1" fillId="6" borderId="16" xfId="0" applyNumberFormat="1" applyFont="1" applyFill="1" applyBorder="1"/>
    <x:xf numFmtId="201" fontId="1" fillId="6" borderId="17" xfId="0" applyNumberFormat="1" applyFont="1" applyFill="1" applyBorder="1"/>
    <x:xf numFmtId="201" fontId="1" fillId="6" borderId="18" xfId="0" applyNumberFormat="1" applyFont="1" applyFill="1" applyBorder="1"/>
    <x:xf numFmtId="200" fontId="1" fillId="6" borderId="17" xfId="0" applyNumberFormat="1" applyFont="1" applyFill="1" applyBorder="1"/>
    <x:xf numFmtId="201" fontId="1" fillId="6" borderId="16" xfId="0" applyNumberFormat="1" applyFont="1" applyFill="1" applyBorder="1"/>
    <x:xf numFmtId="203" fontId="1" fillId="6" borderId="17" xfId="0" applyNumberFormat="1" applyFont="1" applyFill="1" applyBorder="1"/>
    <x:xf numFmtId="0" fontId="9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wrapText="1"/>
    </x:xf>
    <x:xf numFmtId="0" fontId="1" fillId="5" borderId="2" xfId="0" applyNumberFormat="1" applyFont="1" applyFill="1" applyBorder="1" applyAlignment="1">
      <x:alignment wrapText="1"/>
    </x:xf>
    <x:xf numFmtId="0" fontId="1" fillId="5" borderId="3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wrapText="1"/>
    </x:xf>
    <x:xf numFmtId="0" fontId="1" fillId="6" borderId="16" xfId="0" applyNumberFormat="1" applyFont="1" applyFill="1" applyBorder="1" applyAlignment="1">
      <x:alignment wrapText="1"/>
    </x:xf>
    <x:xf numFmtId="202" fontId="1" fillId="6" borderId="16" xfId="0" applyNumberFormat="1" applyFont="1" applyFill="1" applyBorder="1" applyAlignment="1">
      <x:alignment wrapText="1"/>
    </x:xf>
    <x:xf numFmtId="200" fontId="1" fillId="6" borderId="17" xfId="0" applyNumberFormat="1" applyFont="1" applyFill="1" applyBorder="1" applyAlignment="1">
      <x:alignment wrapText="1"/>
    </x:xf>
    <x:xf numFmtId="202" fontId="1" fillId="6" borderId="17" xfId="0" applyNumberFormat="1" applyFont="1" applyFill="1" applyBorder="1" applyAlignment="1">
      <x:alignment wrapText="1"/>
    </x:xf>
    <x:xf numFmtId="0" fontId="1" fillId="6" borderId="17" xfId="0" applyNumberFormat="1" applyFont="1" applyFill="1" applyBorder="1" applyAlignment="1">
      <x:alignment wrapText="1"/>
    </x:xf>
    <x:xf numFmtId="201" fontId="1" fillId="6" borderId="17" xfId="0" applyNumberFormat="1" applyFont="1" applyFill="1" applyBorder="1" applyAlignment="1">
      <x:alignment wrapText="1"/>
    </x:xf>
    <x:xf numFmtId="0" fontId="1" fillId="6" borderId="18" xfId="0" applyNumberFormat="1" applyFont="1" applyFill="1" applyBorder="1" applyAlignment="1">
      <x:alignment wrapText="1"/>
    </x:xf>
    <x:xf numFmtId="201" fontId="1" fillId="6" borderId="16" xfId="0" applyNumberFormat="1" applyFont="1" applyFill="1" applyBorder="1" applyAlignment="1">
      <x:alignment wrapText="1"/>
    </x:xf>
    <x:xf numFmtId="202" fontId="1" fillId="6" borderId="18" xfId="0" applyNumberFormat="1" applyFont="1" applyFill="1" applyBorder="1" applyAlignment="1">
      <x:alignment wrapText="1"/>
    </x:xf>
    <x:xf numFmtId="203" fontId="1" fillId="6" borderId="17" xfId="0" applyNumberFormat="1" applyFont="1" applyFill="1" applyBorder="1" applyAlignment="1">
      <x:alignment wrapText="1"/>
    </x:xf>
    <x:xf numFmtId="201" fontId="1" fillId="6" borderId="18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wrapText="1"/>
    </x:xf>
    <x:xf numFmtId="0" fontId="1" fillId="5" borderId="15" xfId="0" applyNumberFormat="1" applyFont="1" applyFill="1" applyBorder="1" applyAlignment="1">
      <x:alignment wrapText="1"/>
    </x:xf>
    <x:xf numFmtId="200" fontId="1" fillId="5" borderId="2" xfId="0" applyNumberFormat="1" applyFont="1" applyFill="1" applyBorder="1" applyAlignment="1">
      <x:alignment wrapText="1"/>
    </x:xf>
    <x:xf numFmtId="201" fontId="1" fillId="5" borderId="3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wrapText="1"/>
    </x:xf>
    <x:xf numFmtId="0" fontId="1" fillId="5" borderId="7" xfId="0" applyNumberFormat="1" applyFont="1" applyFill="1" applyBorder="1" applyAlignment="1">
      <x:alignment wrapText="1"/>
    </x:xf>
    <x:xf numFmtId="202" fontId="1" fillId="5" borderId="8" xfId="0" applyNumberFormat="1" applyFont="1" applyFill="1" applyBorder="1" applyAlignment="1">
      <x:alignment wrapText="1"/>
    </x:xf>
    <x:xf numFmtId="202" fontId="1" fillId="5" borderId="9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wrapText="1"/>
    </x:xf>
    <x:xf numFmtId="0" fontId="1" fillId="5" borderId="10" xfId="0" applyNumberFormat="1" applyFont="1" applyFill="1" applyBorder="1" applyAlignment="1">
      <x:alignment wrapText="1"/>
    </x:xf>
    <x:xf numFmtId="202" fontId="1" fillId="5" borderId="0" xfId="0" applyNumberFormat="1" applyFont="1" applyFill="1" applyBorder="1" applyAlignment="1">
      <x:alignment wrapText="1"/>
    </x:xf>
    <x:xf numFmtId="202" fontId="1" fillId="5" borderId="11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wrapText="1"/>
    </x:xf>
    <x:xf numFmtId="0" fontId="1" fillId="5" borderId="12" xfId="0" applyNumberFormat="1" applyFont="1" applyFill="1" applyBorder="1" applyAlignment="1">
      <x:alignment wrapText="1"/>
    </x:xf>
    <x:xf numFmtId="202" fontId="1" fillId="5" borderId="13" xfId="0" applyNumberFormat="1" applyFont="1" applyFill="1" applyBorder="1" applyAlignment="1">
      <x:alignment wrapText="1"/>
    </x:xf>
    <x:xf numFmtId="202" fontId="1" fillId="5" borderId="14" xfId="0" applyNumberFormat="1" applyFont="1" applyFill="1" applyBorder="1" applyAlignment="1">
      <x:alignment wrapText="1"/>
    </x:xf>
    <x:xf numFmtId="0" fontId="1" fillId="5" borderId="8" xfId="0" applyNumberFormat="1" applyFont="1" applyFill="1" applyBorder="1" applyAlignment="1">
      <x:alignment wrapText="1"/>
    </x:xf>
    <x:xf numFmtId="203" fontId="1" fillId="5" borderId="8" xfId="0" applyNumberFormat="1" applyFont="1" applyFill="1" applyBorder="1" applyAlignment="1">
      <x:alignment wrapText="1"/>
    </x:xf>
    <x:xf numFmtId="203" fontId="1" fillId="5" borderId="9" xfId="0" applyNumberFormat="1" applyFont="1" applyFill="1" applyBorder="1" applyAlignment="1">
      <x:alignment wrapText="1"/>
    </x:xf>
    <x:xf numFmtId="203" fontId="1" fillId="6" borderId="19" xfId="0" applyNumberFormat="1" applyFont="1" applyFill="1" applyBorder="1" applyAlignment="1">
      <x:alignment wrapText="1"/>
    </x:xf>
    <x:xf numFmtId="203" fontId="1" fillId="6" borderId="20" xfId="0" applyNumberFormat="1" applyFont="1" applyFill="1" applyBorder="1" applyAlignment="1">
      <x:alignment wrapText="1"/>
    </x:xf>
    <x:xf numFmtId="201" fontId="1" fillId="6" borderId="21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wrapText="1"/>
    </x:xf>
    <x:xf numFmtId="203" fontId="1" fillId="5" borderId="0" xfId="0" applyNumberFormat="1" applyFont="1" applyFill="1" applyBorder="1" applyAlignment="1">
      <x:alignment wrapText="1"/>
    </x:xf>
    <x:xf numFmtId="203" fontId="1" fillId="5" borderId="11" xfId="0" applyNumberFormat="1" applyFont="1" applyFill="1" applyBorder="1" applyAlignment="1">
      <x:alignment wrapText="1"/>
    </x:xf>
    <x:xf numFmtId="203" fontId="1" fillId="6" borderId="22" xfId="0" applyNumberFormat="1" applyFont="1" applyFill="1" applyBorder="1" applyAlignment="1">
      <x:alignment wrapText="1"/>
    </x:xf>
    <x:xf numFmtId="203" fontId="1" fillId="6" borderId="0" xfId="0" applyNumberFormat="1" applyFont="1" applyFill="1" applyBorder="1" applyAlignment="1">
      <x:alignment wrapText="1"/>
    </x:xf>
    <x:xf numFmtId="201" fontId="1" fillId="6" borderId="23" xfId="0" applyNumberFormat="1" applyFont="1" applyFill="1" applyBorder="1" applyAlignment="1">
      <x:alignment wrapText="1"/>
    </x:xf>
    <x:xf numFmtId="0" fontId="1" fillId="5" borderId="13" xfId="0" applyNumberFormat="1" applyFont="1" applyFill="1" applyBorder="1" applyAlignment="1">
      <x:alignment wrapText="1"/>
    </x:xf>
    <x:xf numFmtId="203" fontId="1" fillId="5" borderId="13" xfId="0" applyNumberFormat="1" applyFont="1" applyFill="1" applyBorder="1" applyAlignment="1">
      <x:alignment wrapText="1"/>
    </x:xf>
    <x:xf numFmtId="203" fontId="1" fillId="5" borderId="14" xfId="0" applyNumberFormat="1" applyFont="1" applyFill="1" applyBorder="1" applyAlignment="1">
      <x:alignment wrapText="1"/>
    </x:xf>
    <x:xf numFmtId="203" fontId="1" fillId="6" borderId="24" xfId="0" applyNumberFormat="1" applyFont="1" applyFill="1" applyBorder="1" applyAlignment="1">
      <x:alignment wrapText="1"/>
    </x:xf>
    <x:xf numFmtId="203" fontId="1" fillId="6" borderId="25" xfId="0" applyNumberFormat="1" applyFont="1" applyFill="1" applyBorder="1" applyAlignment="1">
      <x:alignment wrapText="1"/>
    </x:xf>
    <x:xf numFmtId="201" fontId="1" fillId="6" borderId="26" xfId="0" applyNumberFormat="1" applyFont="1" applyFill="1" applyBorder="1" applyAlignment="1">
      <x:alignment wrapText="1"/>
    </x:xf>
    <x:xf numFmtId="0" fontId="5" fillId="8" borderId="0" xfId="0" applyNumberFormat="1" applyFont="1" applyFill="1" applyBorder="1" applyAlignment="1">
      <x:alignment wrapText="1"/>
    </x:xf>
    <x:xf numFmtId="203" fontId="5" fillId="8" borderId="0" xfId="0" applyNumberFormat="1" applyFont="1" applyFill="1" applyBorder="1" applyAlignment="1">
      <x:alignment wrapText="1"/>
    </x:xf>
    <x:xf numFmtId="201" fontId="5" fillId="8" borderId="0" xfId="0" applyNumberFormat="1" applyFont="1" applyFill="1" applyBorder="1" applyAlignment="1">
      <x:alignment wrapText="1"/>
    </x:xf>
    <x:xf numFmtId="204" fontId="1" fillId="5" borderId="9" xfId="0" applyNumberFormat="1" applyFont="1" applyFill="1" applyBorder="1" applyAlignment="1">
      <x:alignment wrapText="1"/>
    </x:xf>
    <x:xf numFmtId="202" fontId="1" fillId="6" borderId="19" xfId="0" applyNumberFormat="1" applyFont="1" applyFill="1" applyBorder="1" applyAlignment="1">
      <x:alignment wrapText="1"/>
    </x:xf>
    <x:xf numFmtId="202" fontId="1" fillId="6" borderId="20" xfId="0" applyNumberFormat="1" applyFont="1" applyFill="1" applyBorder="1" applyAlignment="1">
      <x:alignment wrapText="1"/>
    </x:xf>
    <x:xf numFmtId="204" fontId="1" fillId="6" borderId="20" xfId="0" applyNumberFormat="1" applyFont="1" applyFill="1" applyBorder="1" applyAlignment="1">
      <x:alignment wrapText="1"/>
    </x:xf>
    <x:xf numFmtId="201" fontId="1" fillId="6" borderId="20" xfId="0" applyNumberFormat="1" applyFont="1" applyFill="1" applyBorder="1" applyAlignment="1">
      <x:alignment wrapText="1"/>
    </x:xf>
    <x:xf numFmtId="204" fontId="1" fillId="6" borderId="21" xfId="0" applyNumberFormat="1" applyFont="1" applyFill="1" applyBorder="1" applyAlignment="1">
      <x:alignment wrapText="1"/>
    </x:xf>
    <x:xf numFmtId="204" fontId="1" fillId="5" borderId="11" xfId="0" applyNumberFormat="1" applyFont="1" applyFill="1" applyBorder="1" applyAlignment="1">
      <x:alignment wrapText="1"/>
    </x:xf>
    <x:xf numFmtId="202" fontId="1" fillId="6" borderId="22" xfId="0" applyNumberFormat="1" applyFont="1" applyFill="1" applyBorder="1" applyAlignment="1">
      <x:alignment wrapText="1"/>
    </x:xf>
    <x:xf numFmtId="202" fontId="1" fillId="6" borderId="0" xfId="0" applyNumberFormat="1" applyFont="1" applyFill="1" applyBorder="1" applyAlignment="1">
      <x:alignment wrapText="1"/>
    </x:xf>
    <x:xf numFmtId="204" fontId="1" fillId="6" borderId="0" xfId="0" applyNumberFormat="1" applyFont="1" applyFill="1" applyBorder="1" applyAlignment="1">
      <x:alignment wrapText="1"/>
    </x:xf>
    <x:xf numFmtId="201" fontId="1" fillId="6" borderId="0" xfId="0" applyNumberFormat="1" applyFont="1" applyFill="1" applyBorder="1" applyAlignment="1">
      <x:alignment wrapText="1"/>
    </x:xf>
    <x:xf numFmtId="204" fontId="1" fillId="6" borderId="23" xfId="0" applyNumberFormat="1" applyFont="1" applyFill="1" applyBorder="1" applyAlignment="1">
      <x:alignment wrapText="1"/>
    </x:xf>
    <x:xf numFmtId="204" fontId="1" fillId="5" borderId="14" xfId="0" applyNumberFormat="1" applyFont="1" applyFill="1" applyBorder="1" applyAlignment="1">
      <x:alignment wrapText="1"/>
    </x:xf>
    <x:xf numFmtId="202" fontId="1" fillId="6" borderId="24" xfId="0" applyNumberFormat="1" applyFont="1" applyFill="1" applyBorder="1" applyAlignment="1">
      <x:alignment wrapText="1"/>
    </x:xf>
    <x:xf numFmtId="202" fontId="1" fillId="6" borderId="25" xfId="0" applyNumberFormat="1" applyFont="1" applyFill="1" applyBorder="1" applyAlignment="1">
      <x:alignment wrapText="1"/>
    </x:xf>
    <x:xf numFmtId="204" fontId="1" fillId="6" borderId="25" xfId="0" applyNumberFormat="1" applyFont="1" applyFill="1" applyBorder="1" applyAlignment="1">
      <x:alignment wrapText="1"/>
    </x:xf>
    <x:xf numFmtId="201" fontId="1" fillId="6" borderId="25" xfId="0" applyNumberFormat="1" applyFont="1" applyFill="1" applyBorder="1" applyAlignment="1">
      <x:alignment wrapText="1"/>
    </x:xf>
    <x:xf numFmtId="204" fontId="1" fillId="6" borderId="26" xfId="0" applyNumberFormat="1" applyFont="1" applyFill="1" applyBorder="1" applyAlignment="1">
      <x:alignment wrapText="1"/>
    </x:xf>
    <x:xf numFmtId="203" fontId="1" fillId="5" borderId="1" xfId="0" applyNumberFormat="1" applyFont="1" applyFill="1" applyBorder="1" applyAlignment="1">
      <x:alignment wrapText="1"/>
    </x:xf>
    <x:xf numFmtId="203" fontId="1" fillId="5" borderId="2" xfId="0" applyNumberFormat="1" applyFont="1" applyFill="1" applyBorder="1" applyAlignment="1">
      <x:alignment wrapText="1"/>
    </x:xf>
    <x:xf numFmtId="202" fontId="1" fillId="5" borderId="2" xfId="0" applyNumberFormat="1" applyFont="1" applyFill="1" applyBorder="1" applyAlignment="1">
      <x:alignment wrapText="1"/>
    </x:xf>
    <x:xf numFmtId="202" fontId="1" fillId="5" borderId="3" xfId="0" applyNumberFormat="1" applyFont="1" applyFill="1" applyBorder="1" applyAlignment="1">
      <x:alignment wrapText="1"/>
    </x:xf>
    <x:xf numFmtId="0" fontId="1" fillId="6" borderId="27" xfId="0" applyNumberFormat="1" applyFont="1" applyFill="1" applyBorder="1" applyAlignment="1">
      <x:alignment wrapText="1"/>
    </x:xf>
    <x:xf numFmtId="0" fontId="1" fillId="5" borderId="9" xfId="0" applyNumberFormat="1" applyFont="1" applyFill="1" applyBorder="1" applyAlignment="1">
      <x:alignment wrapText="1"/>
    </x:xf>
    <x:xf numFmtId="0" fontId="1" fillId="5" borderId="11" xfId="0" applyNumberFormat="1" applyFont="1" applyFill="1" applyBorder="1" applyAlignment="1">
      <x:alignment wrapText="1"/>
    </x:xf>
    <x:xf numFmtId="0" fontId="1" fillId="5" borderId="14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1" fillId="6" borderId="16" xfId="0" applyNumberFormat="1" applyFont="1" applyFill="1" applyBorder="1" applyAlignment="1">
      <x:alignment vertical="center" wrapText="1"/>
    </x:xf>
    <x:xf numFmtId="202" fontId="1" fillId="6" borderId="16" xfId="0" applyNumberFormat="1" applyFont="1" applyFill="1" applyBorder="1" applyAlignment="1">
      <x:alignment vertical="center" wrapText="1"/>
    </x:xf>
    <x:xf numFmtId="200" fontId="1" fillId="6" borderId="17" xfId="0" applyNumberFormat="1" applyFont="1" applyFill="1" applyBorder="1" applyAlignment="1">
      <x:alignment vertical="center" wrapText="1"/>
    </x:xf>
    <x:xf numFmtId="202" fontId="1" fillId="6" borderId="17" xfId="0" applyNumberFormat="1" applyFont="1" applyFill="1" applyBorder="1" applyAlignment="1">
      <x:alignment vertical="center" wrapText="1"/>
    </x:xf>
    <x:xf numFmtId="0" fontId="1" fillId="6" borderId="17" xfId="0" applyNumberFormat="1" applyFont="1" applyFill="1" applyBorder="1" applyAlignment="1">
      <x:alignment vertical="center" wrapText="1"/>
    </x:xf>
    <x:xf numFmtId="201" fontId="1" fillId="6" borderId="17" xfId="0" applyNumberFormat="1" applyFont="1" applyFill="1" applyBorder="1" applyAlignment="1">
      <x:alignment vertical="center" wrapText="1"/>
    </x:xf>
    <x:xf numFmtId="0" fontId="1" fillId="6" borderId="18" xfId="0" applyNumberFormat="1" applyFont="1" applyFill="1" applyBorder="1" applyAlignment="1">
      <x:alignment vertical="center" wrapText="1"/>
    </x:xf>
    <x:xf numFmtId="201" fontId="1" fillId="6" borderId="16" xfId="0" applyNumberFormat="1" applyFont="1" applyFill="1" applyBorder="1" applyAlignment="1">
      <x:alignment vertical="center" wrapText="1"/>
    </x:xf>
    <x:xf numFmtId="202" fontId="1" fillId="6" borderId="18" xfId="0" applyNumberFormat="1" applyFont="1" applyFill="1" applyBorder="1" applyAlignment="1">
      <x:alignment vertical="center" wrapText="1"/>
    </x:xf>
    <x:xf numFmtId="203" fontId="1" fillId="6" borderId="17" xfId="0" applyNumberFormat="1" applyFont="1" applyFill="1" applyBorder="1" applyAlignment="1">
      <x:alignment vertical="center" wrapText="1"/>
    </x:xf>
    <x:xf numFmtId="201" fontId="1" fillId="6" borderId="18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vertical="center" wrapText="1"/>
    </x:xf>
    <x:xf numFmtId="0" fontId="8" fillId="7" borderId="0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0" fontId="1" fillId="5" borderId="15" xfId="0" applyNumberFormat="1" applyFont="1" applyFill="1" applyBorder="1" applyAlignment="1">
      <x:alignment vertical="center" wrapText="1"/>
    </x:xf>
    <x:xf numFmtId="200" fontId="1" fillId="5" borderId="2" xfId="0" applyNumberFormat="1" applyFont="1" applyFill="1" applyBorder="1" applyAlignment="1">
      <x:alignment vertical="center" wrapText="1"/>
    </x:xf>
    <x:xf numFmtId="0" fontId="1" fillId="5" borderId="2" xfId="0" applyNumberFormat="1" applyFont="1" applyFill="1" applyBorder="1" applyAlignment="1">
      <x:alignment vertical="center" wrapText="1"/>
    </x:xf>
    <x:xf numFmtId="201" fontId="1" fillId="5" borderId="3" xfId="0" applyNumberFormat="1" applyFont="1" applyFill="1" applyBorder="1" applyAlignment="1">
      <x:alignment vertical="center" wrapText="1"/>
    </x:xf>
    <x:xf numFmtId="0" fontId="7" fillId="5" borderId="0" xfId="0" applyNumberFormat="1" applyFont="1" applyFill="1" applyBorder="1" applyAlignment="1">
      <x:alignment vertical="center" wrapText="1"/>
    </x:xf>
    <x:xf numFmtId="0" fontId="1" fillId="5" borderId="7" xfId="0" applyNumberFormat="1" applyFont="1" applyFill="1" applyBorder="1" applyAlignment="1">
      <x:alignment vertical="center" wrapText="1"/>
    </x:xf>
    <x:xf numFmtId="202" fontId="1" fillId="5" borderId="8" xfId="0" applyNumberFormat="1" applyFont="1" applyFill="1" applyBorder="1" applyAlignment="1">
      <x:alignment vertical="center" wrapText="1"/>
    </x:xf>
    <x:xf numFmtId="202" fontId="1" fillId="5" borderId="9" xfId="0" applyNumberFormat="1" applyFont="1" applyFill="1" applyBorder="1" applyAlignment="1">
      <x:alignment vertical="center" wrapText="1"/>
    </x:xf>
    <x:xf numFmtId="0" fontId="7" fillId="6" borderId="0" xfId="0" applyNumberFormat="1" applyFont="1" applyFill="1" applyBorder="1" applyAlignment="1">
      <x:alignment vertical="center" wrapText="1"/>
    </x:xf>
    <x:xf numFmtId="0" fontId="1" fillId="5" borderId="10" xfId="0" applyNumberFormat="1" applyFont="1" applyFill="1" applyBorder="1" applyAlignment="1">
      <x:alignment vertical="center" wrapText="1"/>
    </x:xf>
    <x:xf numFmtId="202" fontId="1" fillId="5" borderId="0" xfId="0" applyNumberFormat="1" applyFont="1" applyFill="1" applyBorder="1" applyAlignment="1">
      <x:alignment vertical="center" wrapText="1"/>
    </x:xf>
    <x:xf numFmtId="202" fontId="1" fillId="5" borderId="11" xfId="0" applyNumberFormat="1" applyFont="1" applyFill="1" applyBorder="1" applyAlignment="1">
      <x:alignment vertical="center" wrapText="1"/>
    </x:xf>
    <x:xf numFmtId="0" fontId="7" fillId="7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0" fontId="1" fillId="5" borderId="12" xfId="0" applyNumberFormat="1" applyFont="1" applyFill="1" applyBorder="1" applyAlignment="1">
      <x:alignment vertical="center" wrapText="1"/>
    </x:xf>
    <x:xf numFmtId="202" fontId="1" fillId="5" borderId="13" xfId="0" applyNumberFormat="1" applyFont="1" applyFill="1" applyBorder="1" applyAlignment="1">
      <x:alignment vertical="center" wrapText="1"/>
    </x:xf>
    <x:xf numFmtId="202" fontId="1" fillId="5" borderId="14" xfId="0" applyNumberFormat="1" applyFont="1" applyFill="1" applyBorder="1" applyAlignment="1">
      <x:alignment vertical="center" wrapText="1"/>
    </x:xf>
    <x:xf numFmtId="0" fontId="1" fillId="5" borderId="8" xfId="0" applyNumberFormat="1" applyFont="1" applyFill="1" applyBorder="1" applyAlignment="1">
      <x:alignment vertical="center" wrapText="1"/>
    </x:xf>
    <x:xf numFmtId="203" fontId="1" fillId="5" borderId="8" xfId="0" applyNumberFormat="1" applyFont="1" applyFill="1" applyBorder="1" applyAlignment="1">
      <x:alignment vertical="center" wrapText="1"/>
    </x:xf>
    <x:xf numFmtId="203" fontId="1" fillId="5" borderId="9" xfId="0" applyNumberFormat="1" applyFont="1" applyFill="1" applyBorder="1" applyAlignment="1">
      <x:alignment vertical="center" wrapText="1"/>
    </x:xf>
    <x:xf numFmtId="203" fontId="1" fillId="6" borderId="19" xfId="0" applyNumberFormat="1" applyFont="1" applyFill="1" applyBorder="1" applyAlignment="1">
      <x:alignment vertical="center" wrapText="1"/>
    </x:xf>
    <x:xf numFmtId="203" fontId="1" fillId="6" borderId="20" xfId="0" applyNumberFormat="1" applyFont="1" applyFill="1" applyBorder="1" applyAlignment="1">
      <x:alignment vertical="center" wrapText="1"/>
    </x:xf>
    <x:xf numFmtId="201" fontId="1" fillId="6" borderId="21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203" fontId="1" fillId="5" borderId="0" xfId="0" applyNumberFormat="1" applyFont="1" applyFill="1" applyBorder="1" applyAlignment="1">
      <x:alignment vertical="center" wrapText="1"/>
    </x:xf>
    <x:xf numFmtId="203" fontId="1" fillId="5" borderId="11" xfId="0" applyNumberFormat="1" applyFont="1" applyFill="1" applyBorder="1" applyAlignment="1">
      <x:alignment vertical="center" wrapText="1"/>
    </x:xf>
    <x:xf numFmtId="203" fontId="1" fillId="6" borderId="22" xfId="0" applyNumberFormat="1" applyFont="1" applyFill="1" applyBorder="1" applyAlignment="1">
      <x:alignment vertical="center" wrapText="1"/>
    </x:xf>
    <x:xf numFmtId="203" fontId="1" fillId="6" borderId="0" xfId="0" applyNumberFormat="1" applyFont="1" applyFill="1" applyBorder="1" applyAlignment="1">
      <x:alignment vertical="center" wrapText="1"/>
    </x:xf>
    <x:xf numFmtId="201" fontId="1" fillId="6" borderId="23" xfId="0" applyNumberFormat="1" applyFont="1" applyFill="1" applyBorder="1" applyAlignment="1">
      <x:alignment vertical="center" wrapText="1"/>
    </x:xf>
    <x:xf numFmtId="0" fontId="1" fillId="5" borderId="13" xfId="0" applyNumberFormat="1" applyFont="1" applyFill="1" applyBorder="1" applyAlignment="1">
      <x:alignment vertical="center" wrapText="1"/>
    </x:xf>
    <x:xf numFmtId="203" fontId="1" fillId="5" borderId="13" xfId="0" applyNumberFormat="1" applyFont="1" applyFill="1" applyBorder="1" applyAlignment="1">
      <x:alignment vertical="center" wrapText="1"/>
    </x:xf>
    <x:xf numFmtId="203" fontId="1" fillId="5" borderId="14" xfId="0" applyNumberFormat="1" applyFont="1" applyFill="1" applyBorder="1" applyAlignment="1">
      <x:alignment vertical="center" wrapText="1"/>
    </x:xf>
    <x:xf numFmtId="203" fontId="1" fillId="6" borderId="24" xfId="0" applyNumberFormat="1" applyFont="1" applyFill="1" applyBorder="1" applyAlignment="1">
      <x:alignment vertical="center" wrapText="1"/>
    </x:xf>
    <x:xf numFmtId="203" fontId="1" fillId="6" borderId="25" xfId="0" applyNumberFormat="1" applyFont="1" applyFill="1" applyBorder="1" applyAlignment="1">
      <x:alignment vertical="center" wrapText="1"/>
    </x:xf>
    <x:xf numFmtId="201" fontId="1" fillId="6" borderId="26" xfId="0" applyNumberFormat="1" applyFont="1" applyFill="1" applyBorder="1" applyAlignment="1">
      <x:alignment vertical="center" wrapText="1"/>
    </x:xf>
    <x:xf numFmtId="0" fontId="1" fillId="5" borderId="3" xfId="0" applyNumberFormat="1" applyFont="1" applyFill="1" applyBorder="1" applyAlignment="1">
      <x:alignment vertical="center" wrapText="1"/>
    </x:xf>
    <x:xf numFmtId="0" fontId="5" fillId="8" borderId="0" xfId="0" applyNumberFormat="1" applyFont="1" applyFill="1" applyBorder="1" applyAlignment="1">
      <x:alignment vertical="center" wrapText="1"/>
    </x:xf>
    <x:xf numFmtId="203" fontId="5" fillId="8" borderId="0" xfId="0" applyNumberFormat="1" applyFont="1" applyFill="1" applyBorder="1" applyAlignment="1">
      <x:alignment vertical="center" wrapText="1"/>
    </x:xf>
    <x:xf numFmtId="201" fontId="5" fillId="8" borderId="0" xfId="0" applyNumberFormat="1" applyFont="1" applyFill="1" applyBorder="1" applyAlignment="1">
      <x:alignment vertical="center" wrapText="1"/>
    </x:xf>
    <x:xf numFmtId="204" fontId="1" fillId="5" borderId="9" xfId="0" applyNumberFormat="1" applyFont="1" applyFill="1" applyBorder="1" applyAlignment="1">
      <x:alignment vertical="center" wrapText="1"/>
    </x:xf>
    <x:xf numFmtId="202" fontId="1" fillId="6" borderId="19" xfId="0" applyNumberFormat="1" applyFont="1" applyFill="1" applyBorder="1" applyAlignment="1">
      <x:alignment vertical="center" wrapText="1"/>
    </x:xf>
    <x:xf numFmtId="202" fontId="1" fillId="6" borderId="20" xfId="0" applyNumberFormat="1" applyFont="1" applyFill="1" applyBorder="1" applyAlignment="1">
      <x:alignment vertical="center" wrapText="1"/>
    </x:xf>
    <x:xf numFmtId="204" fontId="1" fillId="6" borderId="20" xfId="0" applyNumberFormat="1" applyFont="1" applyFill="1" applyBorder="1" applyAlignment="1">
      <x:alignment vertical="center" wrapText="1"/>
    </x:xf>
    <x:xf numFmtId="201" fontId="1" fillId="6" borderId="20" xfId="0" applyNumberFormat="1" applyFont="1" applyFill="1" applyBorder="1" applyAlignment="1">
      <x:alignment vertical="center" wrapText="1"/>
    </x:xf>
    <x:xf numFmtId="204" fontId="1" fillId="6" borderId="21" xfId="0" applyNumberFormat="1" applyFont="1" applyFill="1" applyBorder="1" applyAlignment="1">
      <x:alignment vertical="center" wrapText="1"/>
    </x:xf>
    <x:xf numFmtId="204" fontId="1" fillId="5" borderId="11" xfId="0" applyNumberFormat="1" applyFont="1" applyFill="1" applyBorder="1" applyAlignment="1">
      <x:alignment vertical="center" wrapText="1"/>
    </x:xf>
    <x:xf numFmtId="202" fontId="1" fillId="6" borderId="22" xfId="0" applyNumberFormat="1" applyFont="1" applyFill="1" applyBorder="1" applyAlignment="1">
      <x:alignment vertical="center" wrapText="1"/>
    </x:xf>
    <x:xf numFmtId="202" fontId="1" fillId="6" borderId="0" xfId="0" applyNumberFormat="1" applyFont="1" applyFill="1" applyBorder="1" applyAlignment="1">
      <x:alignment vertical="center" wrapText="1"/>
    </x:xf>
    <x:xf numFmtId="204" fontId="1" fillId="6" borderId="0" xfId="0" applyNumberFormat="1" applyFont="1" applyFill="1" applyBorder="1" applyAlignment="1">
      <x:alignment vertical="center" wrapText="1"/>
    </x:xf>
    <x:xf numFmtId="201" fontId="1" fillId="6" borderId="0" xfId="0" applyNumberFormat="1" applyFont="1" applyFill="1" applyBorder="1" applyAlignment="1">
      <x:alignment vertical="center" wrapText="1"/>
    </x:xf>
    <x:xf numFmtId="204" fontId="1" fillId="6" borderId="23" xfId="0" applyNumberFormat="1" applyFont="1" applyFill="1" applyBorder="1" applyAlignment="1">
      <x:alignment vertical="center" wrapText="1"/>
    </x:xf>
    <x:xf numFmtId="204" fontId="1" fillId="5" borderId="14" xfId="0" applyNumberFormat="1" applyFont="1" applyFill="1" applyBorder="1" applyAlignment="1">
      <x:alignment vertical="center" wrapText="1"/>
    </x:xf>
    <x:xf numFmtId="202" fontId="1" fillId="6" borderId="24" xfId="0" applyNumberFormat="1" applyFont="1" applyFill="1" applyBorder="1" applyAlignment="1">
      <x:alignment vertical="center" wrapText="1"/>
    </x:xf>
    <x:xf numFmtId="202" fontId="1" fillId="6" borderId="25" xfId="0" applyNumberFormat="1" applyFont="1" applyFill="1" applyBorder="1" applyAlignment="1">
      <x:alignment vertical="center" wrapText="1"/>
    </x:xf>
    <x:xf numFmtId="204" fontId="1" fillId="6" borderId="25" xfId="0" applyNumberFormat="1" applyFont="1" applyFill="1" applyBorder="1" applyAlignment="1">
      <x:alignment vertical="center" wrapText="1"/>
    </x:xf>
    <x:xf numFmtId="201" fontId="1" fillId="6" borderId="25" xfId="0" applyNumberFormat="1" applyFont="1" applyFill="1" applyBorder="1" applyAlignment="1">
      <x:alignment vertical="center" wrapText="1"/>
    </x:xf>
    <x:xf numFmtId="204" fontId="1" fillId="6" borderId="26" xfId="0" applyNumberFormat="1" applyFont="1" applyFill="1" applyBorder="1" applyAlignment="1">
      <x:alignment vertical="center" wrapText="1"/>
    </x:xf>
    <x:xf numFmtId="203" fontId="1" fillId="5" borderId="1" xfId="0" applyNumberFormat="1" applyFont="1" applyFill="1" applyBorder="1" applyAlignment="1">
      <x:alignment vertical="center" wrapText="1"/>
    </x:xf>
    <x:xf numFmtId="203" fontId="1" fillId="5" borderId="2" xfId="0" applyNumberFormat="1" applyFont="1" applyFill="1" applyBorder="1" applyAlignment="1">
      <x:alignment vertical="center" wrapText="1"/>
    </x:xf>
    <x:xf numFmtId="202" fontId="1" fillId="5" borderId="2" xfId="0" applyNumberFormat="1" applyFont="1" applyFill="1" applyBorder="1" applyAlignment="1">
      <x:alignment vertical="center" wrapText="1"/>
    </x:xf>
    <x:xf numFmtId="202" fontId="1" fillId="5" borderId="3" xfId="0" applyNumberFormat="1" applyFont="1" applyFill="1" applyBorder="1" applyAlignment="1">
      <x:alignment vertical="center" wrapText="1"/>
    </x:xf>
    <x:xf numFmtId="0" fontId="1" fillId="6" borderId="27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0" fontId="1" fillId="5" borderId="11" xfId="0" applyNumberFormat="1" applyFont="1" applyFill="1" applyBorder="1" applyAlignment="1">
      <x:alignment vertical="center" wrapText="1"/>
    </x:xf>
    <x:xf numFmtId="0" fontId="1" fillId="5" borderId="14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  <x:color rgb="FF9C2F1F"/>
      </x:font>
      <x:fill>
        <x:patternFill patternType="solid">
          <x:bgColor rgb="FFFCE4D6"/>
        </x:patternFill>
      </x:fill>
    </x:dxf>
    <x:dxf>
      <x:font>
        <x:b/>
        <x:color rgb="FF9C2F1F"/>
      </x:font>
      <x:fill>
        <x:patternFill patternType="solid">
          <x:bgColor rgb="FFFCE4D6"/>
        </x:patternFill>
      </x:fill>
    </x:dxf>
    <x:dxf>
      <x:font>
        <x:color rgb="FF9C2F1F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489684a1d24cb1" /><Relationship Type="http://schemas.openxmlformats.org/officeDocument/2006/relationships/theme" Target="/xl/theme/theme1.xml" Id="R92b01d6ed2cc4779" /><Relationship Type="http://schemas.openxmlformats.org/officeDocument/2006/relationships/sharedStrings" Target="/xl/sharedStrings.xml" Id="Rb0d96c89dc554fe1" /><Relationship Type="http://schemas.openxmlformats.org/officeDocument/2006/relationships/worksheet" Target="/xl/worksheets/sheet1.xml" Id="R2d064a3eab95400b" /><Relationship Type="http://schemas.openxmlformats.org/officeDocument/2006/relationships/worksheet" Target="/xl/worksheets/sheet2.xml" Id="R89286081e59a4138" /><Relationship Type="http://schemas.openxmlformats.org/officeDocument/2006/relationships/worksheet" Target="/xl/worksheets/sheet3.xml" Id="R8179253b98f94214" /><Relationship Type="http://schemas.openxmlformats.org/officeDocument/2006/relationships/worksheet" Target="/xl/worksheets/sheet4.xml" Id="R3113e71cc48f4771" /><Relationship Type="http://schemas.openxmlformats.org/officeDocument/2006/relationships/worksheet" Target="/xl/worksheets/sheet5.xml" Id="R18174cc8ea794450" /><Relationship Type="http://schemas.openxmlformats.org/officeDocument/2006/relationships/worksheet" Target="/xl/worksheets/sheet6.xml" Id="Rbb725186059d4cb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25" hidden="0" customWidth="1"/>
    <x:col min="2" max="2" width="25" hidden="0" customWidth="1"/>
    <x:col min="3" max="3" width="8" hidden="0" customWidth="1"/>
    <x:col min="4" max="4" width="8" hidden="0" customWidth="1"/>
    <x:col min="5" max="5" width="35" hidden="0" customWidth="1"/>
    <x:col min="6" max="6" width="20" hidden="0" customWidth="1"/>
    <x:col min="7" max="7" width="8" hidden="0" customWidth="1"/>
    <x:col min="8" max="8" width="8" hidden="0" customWidth="1"/>
  </x:cols>
  <x:sheetData>
    <x:row r="1">
      <x:c r="A1" s="195"/>
      <x:c r="B1" s="195"/>
      <x:c r="C1" s="195"/>
      <x:c r="D1" s="195"/>
      <x:c r="E1" s="195"/>
      <x:c r="F1" s="195"/>
      <x:c r="G1" s="195"/>
      <x:c r="H1" s="195"/>
      <x:c r="I1" s="195"/>
      <x:c r="J1" s="195"/>
      <x:c r="K1" s="195"/>
      <x:c r="L1" s="195"/>
      <x:c r="M1" s="195"/>
      <x:c r="N1" s="195"/>
      <x:c r="O1" s="195"/>
      <x:c r="P1" s="195"/>
      <x:c r="Q1" s="195"/>
      <x:c r="R1" s="195"/>
      <x:c r="S1" s="195"/>
      <x:c r="T1" s="195"/>
      <x:c r="U1" s="195"/>
      <x:c r="V1" s="195"/>
      <x:c r="W1" s="195"/>
      <x:c r="X1" s="195"/>
      <x:c r="Y1" s="195"/>
      <x:c r="Z1" s="195"/>
    </x:row>
    <x:row r="2" ht="30" customHeight="1">
      <x:c r="A2" s="116" t="str">
        <x:v>Rekenmethode 0.1 – adequate woningvoorraad en basisinkomen</x:v>
      </x:c>
      <x:c r="B2" s="116" t="str">
        <x:v>Rekenmethode 0.1 – adequate woningvoorraad en basisinkomen</x:v>
      </x:c>
      <x:c r="C2" s="116" t="str">
        <x:v>Rekenmethode 0.1 – adequate woningvoorraad en basisinkomen</x:v>
      </x:c>
      <x:c r="D2" s="116" t="str">
        <x:v>Rekenmethode 0.1 – adequate woningvoorraad en basisinkomen</x:v>
      </x:c>
      <x:c r="E2" s="116" t="str">
        <x:v>Rekenmethode 0.1 – adequate woningvoorraad en basisinkomen</x:v>
      </x:c>
      <x:c r="F2" s="116" t="str">
        <x:v>Rekenmethode 0.1 – adequate woningvoorraad en basisinkomen</x:v>
      </x:c>
      <x:c r="G2" s="116" t="str">
        <x:v>Rekenmethode 0.1 – adequate woningvoorraad en basisinkomen</x:v>
      </x:c>
      <x:c r="H2" s="116" t="str">
        <x:v>Rekenmethode 0.1 – adequate woningvoorraad en basisinkomen</x:v>
      </x:c>
      <x:c r="I2" s="195"/>
      <x:c r="J2" s="195"/>
      <x:c r="K2" s="195"/>
      <x:c r="L2" s="195"/>
      <x:c r="M2" s="195"/>
      <x:c r="N2" s="195"/>
      <x:c r="O2" s="195"/>
      <x:c r="P2" s="195"/>
      <x:c r="Q2" s="195"/>
      <x:c r="R2" s="195"/>
      <x:c r="S2" s="195"/>
      <x:c r="T2" s="195"/>
      <x:c r="U2" s="195"/>
      <x:c r="V2" s="195"/>
      <x:c r="W2" s="195"/>
      <x:c r="X2" s="195"/>
      <x:c r="Y2" s="195"/>
      <x:c r="Z2" s="195"/>
    </x:row>
    <x:row r="3">
      <x:c r="A3" s="196"/>
      <x:c r="B3" s="196"/>
      <x:c r="C3" s="196"/>
      <x:c r="D3" s="196"/>
      <x:c r="E3" s="196"/>
      <x:c r="F3" s="196"/>
      <x:c r="G3" s="196"/>
      <x:c r="H3" s="196"/>
      <x:c r="I3" s="195"/>
      <x:c r="J3" s="195"/>
      <x:c r="K3" s="195"/>
      <x:c r="L3" s="195"/>
      <x:c r="M3" s="195"/>
      <x:c r="N3" s="195"/>
      <x:c r="O3" s="195"/>
      <x:c r="P3" s="195"/>
      <x:c r="Q3" s="195"/>
      <x:c r="R3" s="195"/>
      <x:c r="S3" s="195"/>
      <x:c r="T3" s="195"/>
      <x:c r="U3" s="195"/>
      <x:c r="V3" s="195"/>
      <x:c r="W3" s="195"/>
      <x:c r="X3" s="195"/>
      <x:c r="Y3" s="195"/>
      <x:c r="Z3" s="195"/>
    </x:row>
    <x:row r="4">
      <x:c r="A4" s="197" t="str">
        <x:v>RESULTATEN OP BASIS VAN ILLUSTRATIEVE VOORBEELDGEGEVENS – geen oordeel over Nederland.</x:v>
      </x:c>
      <x:c r="B4" s="197" t="str"/>
      <x:c r="C4" s="197" t="str"/>
      <x:c r="D4" s="197" t="str"/>
      <x:c r="E4" s="197" t="str"/>
      <x:c r="F4" s="197" t="str"/>
      <x:c r="G4" s="197" t="str"/>
      <x:c r="H4" s="197" t="str"/>
      <x:c r="I4" s="195"/>
      <x:c r="J4" s="195"/>
      <x:c r="K4" s="195"/>
      <x:c r="L4" s="195"/>
      <x:c r="M4" s="195"/>
      <x:c r="N4" s="195"/>
      <x:c r="O4" s="195"/>
      <x:c r="P4" s="195"/>
      <x:c r="Q4" s="195"/>
      <x:c r="R4" s="195"/>
      <x:c r="S4" s="195"/>
      <x:c r="T4" s="195"/>
      <x:c r="U4" s="195"/>
      <x:c r="V4" s="195"/>
      <x:c r="W4" s="195"/>
      <x:c r="X4" s="195"/>
      <x:c r="Y4" s="195"/>
      <x:c r="Z4" s="195"/>
    </x:row>
    <x:row r="5">
      <x:c r="A5" s="196"/>
      <x:c r="B5" s="196"/>
      <x:c r="C5" s="196"/>
      <x:c r="D5" s="196"/>
      <x:c r="E5" s="196"/>
      <x:c r="F5" s="196"/>
      <x:c r="G5" s="196"/>
      <x:c r="H5" s="196"/>
      <x:c r="I5" s="195"/>
      <x:c r="J5" s="195"/>
      <x:c r="K5" s="195"/>
      <x:c r="L5" s="195"/>
      <x:c r="M5" s="195"/>
      <x:c r="N5" s="195"/>
      <x:c r="O5" s="195"/>
      <x:c r="P5" s="195"/>
      <x:c r="Q5" s="195"/>
      <x:c r="R5" s="195"/>
      <x:c r="S5" s="195"/>
      <x:c r="T5" s="195"/>
      <x:c r="U5" s="195"/>
      <x:c r="V5" s="195"/>
      <x:c r="W5" s="195"/>
      <x:c r="X5" s="195"/>
      <x:c r="Y5" s="195"/>
      <x:c r="Z5" s="195"/>
    </x:row>
    <x:row r="6" ht="23" customHeight="1">
      <x:c r="A6" s="118" t="str">
        <x:v>Afbakening</x:v>
      </x:c>
      <x:c r="B6" s="118"/>
      <x:c r="C6" s="118"/>
      <x:c r="D6" s="118"/>
      <x:c r="E6" s="118" t="str">
        <x:v>Basisinkomen – actief scenario</x:v>
      </x:c>
      <x:c r="F6" s="118"/>
      <x:c r="G6" s="118"/>
      <x:c r="H6" s="118"/>
      <x:c r="I6" s="195"/>
      <x:c r="J6" s="195"/>
      <x:c r="K6" s="195"/>
      <x:c r="L6" s="195"/>
      <x:c r="M6" s="195"/>
      <x:c r="N6" s="195"/>
      <x:c r="O6" s="195"/>
      <x:c r="P6" s="195"/>
      <x:c r="Q6" s="195"/>
      <x:c r="R6" s="195"/>
      <x:c r="S6" s="195"/>
      <x:c r="T6" s="195"/>
      <x:c r="U6" s="195"/>
      <x:c r="V6" s="195"/>
      <x:c r="W6" s="195"/>
      <x:c r="X6" s="195"/>
      <x:c r="Y6" s="195"/>
      <x:c r="Z6" s="195"/>
    </x:row>
    <x:row r="7">
      <x:c r="A7" s="198" t="str">
        <x:v>Gebied</x:v>
      </x:c>
      <x:c r="B7" s="199" t="str">
        <x:f>Normen!B7</x:f>
        <x:v>Nederland – voorbeeldgebied</x:v>
      </x:c>
      <x:c r="C7" s="196"/>
      <x:c r="D7" s="196"/>
      <x:c r="E7" s="198" t="str">
        <x:v>Volwassene p.m.</x:v>
      </x:c>
      <x:c r="F7" s="200" t="n">
        <x:f>Normen!G9</x:f>
        <x:v>800</x:v>
      </x:c>
      <x:c r="G7" s="196"/>
      <x:c r="H7" s="196"/>
      <x:c r="I7" s="195"/>
      <x:c r="J7" s="195"/>
      <x:c r="K7" s="195"/>
      <x:c r="L7" s="195"/>
      <x:c r="M7" s="195"/>
      <x:c r="N7" s="195"/>
      <x:c r="O7" s="195"/>
      <x:c r="P7" s="195"/>
      <x:c r="Q7" s="195"/>
      <x:c r="R7" s="195"/>
      <x:c r="S7" s="195"/>
      <x:c r="T7" s="195"/>
      <x:c r="U7" s="195"/>
      <x:c r="V7" s="195"/>
      <x:c r="W7" s="195"/>
      <x:c r="X7" s="195"/>
      <x:c r="Y7" s="195"/>
      <x:c r="Z7" s="195"/>
    </x:row>
    <x:row r="8">
      <x:c r="A8" s="198" t="str">
        <x:v>Peildatum</x:v>
      </x:c>
      <x:c r="B8" s="201" t="n">
        <x:f>Normen!B8</x:f>
        <x:v>46387</x:v>
      </x:c>
      <x:c r="C8" s="196"/>
      <x:c r="D8" s="196"/>
      <x:c r="E8" s="198" t="str">
        <x:v>Kind p.m.</x:v>
      </x:c>
      <x:c r="F8" s="202" t="n">
        <x:f>Normen!G10</x:f>
        <x:v>0</x:v>
      </x:c>
      <x:c r="G8" s="196"/>
      <x:c r="H8" s="196"/>
      <x:c r="I8" s="195"/>
      <x:c r="J8" s="195"/>
      <x:c r="K8" s="195"/>
      <x:c r="L8" s="195"/>
      <x:c r="M8" s="195"/>
      <x:c r="N8" s="195"/>
      <x:c r="O8" s="195"/>
      <x:c r="P8" s="195"/>
      <x:c r="Q8" s="195"/>
      <x:c r="R8" s="195"/>
      <x:c r="S8" s="195"/>
      <x:c r="T8" s="195"/>
      <x:c r="U8" s="195"/>
      <x:c r="V8" s="195"/>
      <x:c r="W8" s="195"/>
      <x:c r="X8" s="195"/>
      <x:c r="Y8" s="195"/>
      <x:c r="Z8" s="195"/>
    </x:row>
    <x:row r="9">
      <x:c r="A9" s="198" t="str">
        <x:v>Prijspeil</x:v>
      </x:c>
      <x:c r="B9" s="203" t="str">
        <x:f>Normen!B9</x:f>
        <x:v>september 2026</x:v>
      </x:c>
      <x:c r="C9" s="196"/>
      <x:c r="D9" s="196"/>
      <x:c r="E9" s="198" t="str">
        <x:v>Dekking huishoudens BI</x:v>
      </x:c>
      <x:c r="F9" s="204" t="n">
        <x:f>IF(SUM(Huishoudtypen!F6:F25)=0,"",SUMPRODUCT(Huishoudtypen!F6:F25,Huishoudtypen!P6:P25)/SUM(Huishoudtypen!F6:F25))</x:f>
        <x:v>0.9649122807017544</x:v>
      </x:c>
      <x:c r="G9" s="196"/>
      <x:c r="H9" s="196"/>
      <x:c r="I9" s="195"/>
      <x:c r="J9" s="195"/>
      <x:c r="K9" s="195"/>
      <x:c r="L9" s="195"/>
      <x:c r="M9" s="195"/>
      <x:c r="N9" s="195"/>
      <x:c r="O9" s="195"/>
      <x:c r="P9" s="195"/>
      <x:c r="Q9" s="195"/>
      <x:c r="R9" s="195"/>
      <x:c r="S9" s="195"/>
      <x:c r="T9" s="195"/>
      <x:c r="U9" s="195"/>
      <x:c r="V9" s="195"/>
      <x:c r="W9" s="195"/>
      <x:c r="X9" s="195"/>
      <x:c r="Y9" s="195"/>
      <x:c r="Z9" s="195"/>
    </x:row>
    <x:row r="10">
      <x:c r="A10" s="198" t="str">
        <x:v>Scenario</x:v>
      </x:c>
      <x:c r="B10" s="205" t="str">
        <x:f>Normen!G8</x:f>
        <x:v>Laag</x:v>
      </x:c>
      <x:c r="C10" s="196"/>
      <x:c r="D10" s="196"/>
      <x:c r="E10" s="198" t="str">
        <x:v>Gemiddeld tekort alle huishoudens</x:v>
      </x:c>
      <x:c r="F10" s="202" t="n">
        <x:f>IF(SUM(Huishoudtypen!F6:F25)=0,"",SUMPRODUCT(Huishoudtypen!F6:F25,Huishoudtypen!O6:O25)/SUM(Huishoudtypen!F6:F25))</x:f>
        <x:v>3.508771929824561</x:v>
      </x:c>
      <x:c r="G10" s="196"/>
      <x:c r="H10" s="196"/>
      <x:c r="I10" s="195"/>
      <x:c r="J10" s="195"/>
      <x:c r="K10" s="195"/>
      <x:c r="L10" s="195"/>
      <x:c r="M10" s="195"/>
      <x:c r="N10" s="195"/>
      <x:c r="O10" s="195"/>
      <x:c r="P10" s="195"/>
      <x:c r="Q10" s="195"/>
      <x:c r="R10" s="195"/>
      <x:c r="S10" s="195"/>
      <x:c r="T10" s="195"/>
      <x:c r="U10" s="195"/>
      <x:c r="V10" s="195"/>
      <x:c r="W10" s="195"/>
      <x:c r="X10" s="195"/>
      <x:c r="Y10" s="195"/>
      <x:c r="Z10" s="195"/>
    </x:row>
    <x:row r="11">
      <x:c r="A11" s="196"/>
      <x:c r="B11" s="196"/>
      <x:c r="C11" s="196"/>
      <x:c r="D11" s="196"/>
      <x:c r="E11" s="198" t="str">
        <x:v>Gemiddeld tekort indien ontoereikend</x:v>
      </x:c>
      <x:c r="F11" s="202" t="n">
        <x:f>IF(SUMPRODUCT(Huishoudtypen!F6:F25,1-Huishoudtypen!P6:P25)=0,0,SUMPRODUCT(Huishoudtypen!F6:F25,Huishoudtypen!O6:O25)/SUMPRODUCT(Huishoudtypen!F6:F25,1-Huishoudtypen!P6:P25))</x:f>
        <x:v>100</x:v>
      </x:c>
      <x:c r="G11" s="196"/>
      <x:c r="H11" s="196"/>
      <x:c r="I11" s="195"/>
      <x:c r="J11" s="195"/>
      <x:c r="K11" s="195"/>
      <x:c r="L11" s="195"/>
      <x:c r="M11" s="195"/>
      <x:c r="N11" s="195"/>
      <x:c r="O11" s="195"/>
      <x:c r="P11" s="195"/>
      <x:c r="Q11" s="195"/>
      <x:c r="R11" s="195"/>
      <x:c r="S11" s="195"/>
      <x:c r="T11" s="195"/>
      <x:c r="U11" s="195"/>
      <x:c r="V11" s="195"/>
      <x:c r="W11" s="195"/>
      <x:c r="X11" s="195"/>
      <x:c r="Y11" s="195"/>
      <x:c r="Z11" s="195"/>
    </x:row>
    <x:row r="12" ht="23" customHeight="1">
      <x:c r="A12" s="118" t="str">
        <x:v>Adequate woningvoorraad</x:v>
      </x:c>
      <x:c r="B12" s="118"/>
      <x:c r="C12" s="118"/>
      <x:c r="D12" s="118"/>
      <x:c r="E12" s="198" t="str">
        <x:v>Bruto uitgaven per jaar</x:v>
      </x:c>
      <x:c r="F12" s="202" t="n">
        <x:f>Financiering!B17</x:f>
        <x:v>96000000</x:v>
      </x:c>
      <x:c r="G12" s="196"/>
      <x:c r="H12" s="196"/>
      <x:c r="I12" s="195"/>
      <x:c r="J12" s="195"/>
      <x:c r="K12" s="195"/>
      <x:c r="L12" s="195"/>
      <x:c r="M12" s="195"/>
      <x:c r="N12" s="195"/>
      <x:c r="O12" s="195"/>
      <x:c r="P12" s="195"/>
      <x:c r="Q12" s="195"/>
      <x:c r="R12" s="195"/>
      <x:c r="S12" s="195"/>
      <x:c r="T12" s="195"/>
      <x:c r="U12" s="195"/>
      <x:c r="V12" s="195"/>
      <x:c r="W12" s="195"/>
      <x:c r="X12" s="195"/>
      <x:c r="Y12" s="195"/>
      <x:c r="Z12" s="195"/>
    </x:row>
    <x:row r="13">
      <x:c r="A13" s="198" t="str">
        <x:v>Dekkingsgraad AW</x:v>
      </x:c>
      <x:c r="B13" s="206" t="n">
        <x:f>IF(Woninggroepen!E26=0,"",Woninggroepen!I26/Woninggroepen!E26)</x:f>
        <x:v>0.7317784256559767</x:v>
      </x:c>
      <x:c r="C13" s="196"/>
      <x:c r="D13" s="196"/>
      <x:c r="E13" s="198" t="str">
        <x:v>Netto publieke kosten</x:v>
      </x:c>
      <x:c r="F13" s="207" t="n">
        <x:f>Financiering!B18</x:f>
        <x:v>61000000</x:v>
      </x:c>
      <x:c r="G13" s="196"/>
      <x:c r="H13" s="196"/>
      <x:c r="I13" s="195"/>
      <x:c r="J13" s="195"/>
      <x:c r="K13" s="195"/>
      <x:c r="L13" s="195"/>
      <x:c r="M13" s="195"/>
      <x:c r="N13" s="195"/>
      <x:c r="O13" s="195"/>
      <x:c r="P13" s="195"/>
      <x:c r="Q13" s="195"/>
      <x:c r="R13" s="195"/>
      <x:c r="S13" s="195"/>
      <x:c r="T13" s="195"/>
      <x:c r="U13" s="195"/>
      <x:c r="V13" s="195"/>
      <x:c r="W13" s="195"/>
      <x:c r="X13" s="195"/>
      <x:c r="Y13" s="195"/>
      <x:c r="Z13" s="195"/>
    </x:row>
    <x:row r="14">
      <x:c r="A14" s="198" t="str">
        <x:v>Totaal tekort woningen</x:v>
      </x:c>
      <x:c r="B14" s="208" t="n">
        <x:f>Woninggroepen!J26</x:f>
        <x:v>920</x:v>
      </x:c>
      <x:c r="C14" s="196"/>
      <x:c r="D14" s="196"/>
      <x:c r="E14" s="196"/>
      <x:c r="F14" s="196"/>
      <x:c r="G14" s="196"/>
      <x:c r="H14" s="196"/>
      <x:c r="I14" s="195"/>
      <x:c r="J14" s="195"/>
      <x:c r="K14" s="195"/>
      <x:c r="L14" s="195"/>
      <x:c r="M14" s="195"/>
      <x:c r="N14" s="195"/>
      <x:c r="O14" s="195"/>
      <x:c r="P14" s="195"/>
      <x:c r="Q14" s="195"/>
      <x:c r="R14" s="195"/>
      <x:c r="S14" s="195"/>
      <x:c r="T14" s="195"/>
      <x:c r="U14" s="195"/>
      <x:c r="V14" s="195"/>
      <x:c r="W14" s="195"/>
      <x:c r="X14" s="195"/>
      <x:c r="Y14" s="195"/>
      <x:c r="Z14" s="195"/>
    </x:row>
    <x:row r="15" ht="23" customHeight="1">
      <x:c r="A15" s="198" t="str">
        <x:v>Laagste groepsdekking</x:v>
      </x:c>
      <x:c r="B15" s="204" t="n">
        <x:f>MIN(Woninggroepen!K6:K25)</x:f>
        <x:v>0.4444444444444444</x:v>
      </x:c>
      <x:c r="C15" s="196"/>
      <x:c r="D15" s="196"/>
      <x:c r="E15" s="118" t="str">
        <x:v>Gezamenlijke bestaansbasis</x:v>
      </x:c>
      <x:c r="F15" s="118"/>
      <x:c r="G15" s="118"/>
      <x:c r="H15" s="118"/>
      <x:c r="I15" s="195"/>
      <x:c r="J15" s="195"/>
      <x:c r="K15" s="195"/>
      <x:c r="L15" s="195"/>
      <x:c r="M15" s="195"/>
      <x:c r="N15" s="195"/>
      <x:c r="O15" s="195"/>
      <x:c r="P15" s="195"/>
      <x:c r="Q15" s="195"/>
      <x:c r="R15" s="195"/>
      <x:c r="S15" s="195"/>
      <x:c r="T15" s="195"/>
      <x:c r="U15" s="195"/>
      <x:c r="V15" s="195"/>
      <x:c r="W15" s="195"/>
      <x:c r="X15" s="195"/>
      <x:c r="Y15" s="195"/>
      <x:c r="Z15" s="195"/>
    </x:row>
    <x:row r="16">
      <x:c r="A16" s="198" t="str">
        <x:v>Doeldekking</x:v>
      </x:c>
      <x:c r="B16" s="209" t="n">
        <x:f>Normen!B11</x:f>
        <x:v>0.95</x:v>
      </x:c>
      <x:c r="C16" s="196"/>
      <x:c r="D16" s="196"/>
      <x:c r="E16" s="198" t="str">
        <x:v>Adequate woning én toereikend inkomen</x:v>
      </x:c>
      <x:c r="F16" s="206" t="n">
        <x:f>IF(SUM(Huishoudtypen!F6:F25)=0,"",SUMPRODUCT(Huishoudtypen!F6:F25,Huishoudtypen!R6:R25)/SUM(Huishoudtypen!F6:F25))</x:f>
        <x:v>0.847953216374269</x:v>
      </x:c>
      <x:c r="G16" s="196"/>
      <x:c r="H16" s="196"/>
      <x:c r="I16" s="195"/>
      <x:c r="J16" s="195"/>
      <x:c r="K16" s="195"/>
      <x:c r="L16" s="195"/>
      <x:c r="M16" s="195"/>
      <x:c r="N16" s="195"/>
      <x:c r="O16" s="195"/>
      <x:c r="P16" s="195"/>
      <x:c r="Q16" s="195"/>
      <x:c r="R16" s="195"/>
      <x:c r="S16" s="195"/>
      <x:c r="T16" s="195"/>
      <x:c r="U16" s="195"/>
      <x:c r="V16" s="195"/>
      <x:c r="W16" s="195"/>
      <x:c r="X16" s="195"/>
      <x:c r="Y16" s="195"/>
      <x:c r="Z16" s="195"/>
    </x:row>
    <x:row r="17">
      <x:c r="A17" s="196"/>
      <x:c r="B17" s="196"/>
      <x:c r="C17" s="196"/>
      <x:c r="D17" s="196"/>
      <x:c r="E17" s="198" t="str">
        <x:v>Huishoudens in steekproef/weging</x:v>
      </x:c>
      <x:c r="F17" s="208" t="n">
        <x:f>SUM(Huishoudtypen!F6:F25)</x:f>
        <x:v>3420</x:v>
      </x:c>
      <x:c r="G17" s="196"/>
      <x:c r="H17" s="196"/>
      <x:c r="I17" s="195"/>
      <x:c r="J17" s="195"/>
      <x:c r="K17" s="195"/>
      <x:c r="L17" s="195"/>
      <x:c r="M17" s="195"/>
      <x:c r="N17" s="195"/>
      <x:c r="O17" s="195"/>
      <x:c r="P17" s="195"/>
      <x:c r="Q17" s="195"/>
      <x:c r="R17" s="195"/>
      <x:c r="S17" s="195"/>
      <x:c r="T17" s="195"/>
      <x:c r="U17" s="195"/>
      <x:c r="V17" s="195"/>
      <x:c r="W17" s="195"/>
      <x:c r="X17" s="195"/>
      <x:c r="Y17" s="195"/>
      <x:c r="Z17" s="195"/>
    </x:row>
    <x:row r="18">
      <x:c r="A18" s="196"/>
      <x:c r="B18" s="196"/>
      <x:c r="C18" s="196"/>
      <x:c r="D18" s="196"/>
      <x:c r="E18" s="198" t="str">
        <x:v>Doeldekking</x:v>
      </x:c>
      <x:c r="F18" s="209" t="n">
        <x:f>Normen!B11</x:f>
        <x:v>0.95</x:v>
      </x:c>
      <x:c r="G18" s="196"/>
      <x:c r="H18" s="196"/>
      <x:c r="I18" s="195"/>
      <x:c r="J18" s="195"/>
      <x:c r="K18" s="195"/>
      <x:c r="L18" s="195"/>
      <x:c r="M18" s="195"/>
      <x:c r="N18" s="195"/>
      <x:c r="O18" s="195"/>
      <x:c r="P18" s="195"/>
      <x:c r="Q18" s="195"/>
      <x:c r="R18" s="195"/>
      <x:c r="S18" s="195"/>
      <x:c r="T18" s="195"/>
      <x:c r="U18" s="195"/>
      <x:c r="V18" s="195"/>
      <x:c r="W18" s="195"/>
      <x:c r="X18" s="195"/>
      <x:c r="Y18" s="195"/>
      <x:c r="Z18" s="195"/>
    </x:row>
    <x:row r="19">
      <x:c r="A19" s="196"/>
      <x:c r="B19" s="196"/>
      <x:c r="C19" s="196"/>
      <x:c r="D19" s="196"/>
      <x:c r="E19" s="196"/>
      <x:c r="F19" s="196"/>
      <x:c r="G19" s="196"/>
      <x:c r="H19" s="196"/>
      <x:c r="I19" s="195"/>
      <x:c r="J19" s="195"/>
      <x:c r="K19" s="195"/>
      <x:c r="L19" s="195"/>
      <x:c r="M19" s="195"/>
      <x:c r="N19" s="195"/>
      <x:c r="O19" s="195"/>
      <x:c r="P19" s="195"/>
      <x:c r="Q19" s="195"/>
      <x:c r="R19" s="195"/>
      <x:c r="S19" s="195"/>
      <x:c r="T19" s="195"/>
      <x:c r="U19" s="195"/>
      <x:c r="V19" s="195"/>
      <x:c r="W19" s="195"/>
      <x:c r="X19" s="195"/>
      <x:c r="Y19" s="195"/>
      <x:c r="Z19" s="195"/>
    </x:row>
    <x:row r="20" ht="23" customHeight="1">
      <x:c r="A20" s="118" t="str">
        <x:v>Zo gebruikt u de uitkomst</x:v>
      </x:c>
      <x:c r="B20" s="118"/>
      <x:c r="C20" s="118"/>
      <x:c r="D20" s="118"/>
      <x:c r="E20" s="118"/>
      <x:c r="F20" s="118"/>
      <x:c r="G20" s="118"/>
      <x:c r="H20" s="118"/>
      <x:c r="I20" s="195"/>
      <x:c r="J20" s="195"/>
      <x:c r="K20" s="195"/>
      <x:c r="L20" s="195"/>
      <x:c r="M20" s="195"/>
      <x:c r="N20" s="195"/>
      <x:c r="O20" s="195"/>
      <x:c r="P20" s="195"/>
      <x:c r="Q20" s="195"/>
      <x:c r="R20" s="195"/>
      <x:c r="S20" s="195"/>
      <x:c r="T20" s="195"/>
      <x:c r="U20" s="195"/>
      <x:c r="V20" s="195"/>
      <x:c r="W20" s="195"/>
      <x:c r="X20" s="195"/>
      <x:c r="Y20" s="195"/>
      <x:c r="Z20" s="195"/>
    </x:row>
    <x:row r="21" ht="30" customHeight="1">
      <x:c r="A21" s="210" t="str">
        <x:v>1</x:v>
      </x:c>
      <x:c r="B21" s="211" t="str">
        <x:v>Controleer eerst of alle groepen exclusief zijn en dezelfde afbakening en peildatum gebruiken.</x:v>
      </x:c>
      <x:c r="C21" s="211" t="str"/>
      <x:c r="D21" s="211" t="str"/>
      <x:c r="E21" s="211" t="str"/>
      <x:c r="F21" s="211" t="str"/>
      <x:c r="G21" s="211" t="str"/>
      <x:c r="H21" s="211" t="str"/>
      <x:c r="I21" s="195"/>
      <x:c r="J21" s="195"/>
      <x:c r="K21" s="195"/>
      <x:c r="L21" s="195"/>
      <x:c r="M21" s="195"/>
      <x:c r="N21" s="195"/>
      <x:c r="O21" s="195"/>
      <x:c r="P21" s="195"/>
      <x:c r="Q21" s="195"/>
      <x:c r="R21" s="195"/>
      <x:c r="S21" s="195"/>
      <x:c r="T21" s="195"/>
      <x:c r="U21" s="195"/>
      <x:c r="V21" s="195"/>
      <x:c r="W21" s="195"/>
      <x:c r="X21" s="195"/>
      <x:c r="Y21" s="195"/>
      <x:c r="Z21" s="195"/>
    </x:row>
    <x:row r="22" ht="30" customHeight="1">
      <x:c r="A22" s="210" t="str">
        <x:v>2</x:v>
      </x:c>
      <x:c r="B22" s="211" t="str">
        <x:v>Lees de totaalscore altijd samen met de laagste groepsscore: een gemiddelde kan uitsluiting verbergen.</x:v>
      </x:c>
      <x:c r="C22" s="211" t="str"/>
      <x:c r="D22" s="211" t="str"/>
      <x:c r="E22" s="211" t="str"/>
      <x:c r="F22" s="211" t="str"/>
      <x:c r="G22" s="211" t="str"/>
      <x:c r="H22" s="211" t="str"/>
      <x:c r="I22" s="195"/>
      <x:c r="J22" s="195"/>
      <x:c r="K22" s="195"/>
      <x:c r="L22" s="195"/>
      <x:c r="M22" s="195"/>
      <x:c r="N22" s="195"/>
      <x:c r="O22" s="195"/>
      <x:c r="P22" s="195"/>
      <x:c r="Q22" s="195"/>
      <x:c r="R22" s="195"/>
      <x:c r="S22" s="195"/>
      <x:c r="T22" s="195"/>
      <x:c r="U22" s="195"/>
      <x:c r="V22" s="195"/>
      <x:c r="W22" s="195"/>
      <x:c r="X22" s="195"/>
      <x:c r="Y22" s="195"/>
      <x:c r="Z22" s="195"/>
    </x:row>
    <x:row r="23" ht="30" customHeight="1">
      <x:c r="A23" s="210" t="str">
        <x:v>3</x:v>
      </x:c>
      <x:c r="B23" s="211" t="str">
        <x:v>Vergelijk minstens drie basisinkomenscenario’s en toon dekking, resterend tekort en netto kosten.</x:v>
      </x:c>
      <x:c r="C23" s="211" t="str"/>
      <x:c r="D23" s="211" t="str"/>
      <x:c r="E23" s="211" t="str"/>
      <x:c r="F23" s="211" t="str"/>
      <x:c r="G23" s="211" t="str"/>
      <x:c r="H23" s="211" t="str"/>
      <x:c r="I23" s="195"/>
      <x:c r="J23" s="195"/>
      <x:c r="K23" s="195"/>
      <x:c r="L23" s="195"/>
      <x:c r="M23" s="195"/>
      <x:c r="N23" s="195"/>
      <x:c r="O23" s="195"/>
      <x:c r="P23" s="195"/>
      <x:c r="Q23" s="195"/>
      <x:c r="R23" s="195"/>
      <x:c r="S23" s="195"/>
      <x:c r="T23" s="195"/>
      <x:c r="U23" s="195"/>
      <x:c r="V23" s="195"/>
      <x:c r="W23" s="195"/>
      <x:c r="X23" s="195"/>
      <x:c r="Y23" s="195"/>
      <x:c r="Z23" s="195"/>
    </x:row>
    <x:row r="24" ht="30" customHeight="1">
      <x:c r="A24" s="210" t="str">
        <x:v>4</x:v>
      </x:c>
      <x:c r="B24" s="211" t="str">
        <x:v>Een woningtekort is niet alleen een aantalsprobleem; betaalbaarheid, geschiktheid, kwaliteit, locatie en woonzekerheid horen erbij.</x:v>
      </x:c>
      <x:c r="C24" s="211" t="str"/>
      <x:c r="D24" s="211" t="str"/>
      <x:c r="E24" s="211" t="str"/>
      <x:c r="F24" s="211" t="str"/>
      <x:c r="G24" s="211" t="str"/>
      <x:c r="H24" s="211" t="str"/>
      <x:c r="I24" s="195"/>
      <x:c r="J24" s="195"/>
      <x:c r="K24" s="195"/>
      <x:c r="L24" s="195"/>
      <x:c r="M24" s="195"/>
      <x:c r="N24" s="195"/>
      <x:c r="O24" s="195"/>
      <x:c r="P24" s="195"/>
      <x:c r="Q24" s="195"/>
      <x:c r="R24" s="195"/>
      <x:c r="S24" s="195"/>
      <x:c r="T24" s="195"/>
      <x:c r="U24" s="195"/>
      <x:c r="V24" s="195"/>
      <x:c r="W24" s="195"/>
      <x:c r="X24" s="195"/>
      <x:c r="Y24" s="195"/>
      <x:c r="Z24" s="195"/>
    </x:row>
    <x:row r="25" ht="30" customHeight="1">
      <x:c r="A25" s="210" t="str">
        <x:v>5</x:v>
      </x:c>
      <x:c r="B25" s="211" t="str">
        <x:v>Publiceer bron, meetjaar en kwaliteitsnotitie naast iedere invoer. Onbekend is niet hetzelfde als nul.</x:v>
      </x:c>
      <x:c r="C25" s="211" t="str"/>
      <x:c r="D25" s="211" t="str"/>
      <x:c r="E25" s="211" t="str"/>
      <x:c r="F25" s="211" t="str"/>
      <x:c r="G25" s="211" t="str"/>
      <x:c r="H25" s="211" t="str"/>
      <x:c r="I25" s="195"/>
      <x:c r="J25" s="195"/>
      <x:c r="K25" s="195"/>
      <x:c r="L25" s="195"/>
      <x:c r="M25" s="195"/>
      <x:c r="N25" s="195"/>
      <x:c r="O25" s="195"/>
      <x:c r="P25" s="195"/>
      <x:c r="Q25" s="195"/>
      <x:c r="R25" s="195"/>
      <x:c r="S25" s="195"/>
      <x:c r="T25" s="195"/>
      <x:c r="U25" s="195"/>
      <x:c r="V25" s="195"/>
      <x:c r="W25" s="195"/>
      <x:c r="X25" s="195"/>
      <x:c r="Y25" s="195"/>
      <x:c r="Z25" s="195"/>
    </x:row>
    <x:row r="26" ht="30" customHeight="1">
      <x:c r="A26" s="210" t="str">
        <x:v>6</x:v>
      </x:c>
      <x:c r="B26" s="211" t="str">
        <x:v>Gebruik het model om de discussie te openen en alternatieven te vergelijken, niet om normatieve keuzes te verbergen.</x:v>
      </x:c>
      <x:c r="C26" s="211" t="str"/>
      <x:c r="D26" s="211" t="str"/>
      <x:c r="E26" s="211" t="str"/>
      <x:c r="F26" s="211" t="str"/>
      <x:c r="G26" s="211" t="str"/>
      <x:c r="H26" s="211" t="str"/>
      <x:c r="I26" s="195"/>
      <x:c r="J26" s="195"/>
      <x:c r="K26" s="195"/>
      <x:c r="L26" s="195"/>
      <x:c r="M26" s="195"/>
      <x:c r="N26" s="195"/>
      <x:c r="O26" s="195"/>
      <x:c r="P26" s="195"/>
      <x:c r="Q26" s="195"/>
      <x:c r="R26" s="195"/>
      <x:c r="S26" s="195"/>
      <x:c r="T26" s="195"/>
      <x:c r="U26" s="195"/>
      <x:c r="V26" s="195"/>
      <x:c r="W26" s="195"/>
      <x:c r="X26" s="195"/>
      <x:c r="Y26" s="195"/>
      <x:c r="Z26" s="195"/>
    </x:row>
    <x:row r="27">
      <x:c r="A27" s="195"/>
      <x:c r="B27" s="195"/>
      <x:c r="C27" s="195"/>
      <x:c r="D27" s="195"/>
      <x:c r="E27" s="195"/>
      <x:c r="F27" s="195"/>
      <x:c r="G27" s="195"/>
      <x:c r="H27" s="195"/>
      <x:c r="I27" s="195"/>
      <x:c r="J27" s="195"/>
      <x:c r="K27" s="195"/>
      <x:c r="L27" s="195"/>
      <x:c r="M27" s="195"/>
      <x:c r="N27" s="195"/>
      <x:c r="O27" s="195"/>
      <x:c r="P27" s="195"/>
      <x:c r="Q27" s="195"/>
      <x:c r="R27" s="195"/>
      <x:c r="S27" s="195"/>
      <x:c r="T27" s="195"/>
      <x:c r="U27" s="195"/>
      <x:c r="V27" s="195"/>
      <x:c r="W27" s="195"/>
      <x:c r="X27" s="195"/>
      <x:c r="Y27" s="195"/>
      <x:c r="Z27" s="195"/>
    </x:row>
    <x:row r="28">
      <x:c r="A28" s="195"/>
      <x:c r="B28" s="195"/>
      <x:c r="C28" s="195"/>
      <x:c r="D28" s="195"/>
      <x:c r="E28" s="195"/>
      <x:c r="F28" s="195"/>
      <x:c r="G28" s="195"/>
      <x:c r="H28" s="195"/>
      <x:c r="I28" s="195"/>
      <x:c r="J28" s="195"/>
      <x:c r="K28" s="195"/>
      <x:c r="L28" s="195"/>
      <x:c r="M28" s="195"/>
      <x:c r="N28" s="195"/>
      <x:c r="O28" s="195"/>
      <x:c r="P28" s="195"/>
      <x:c r="Q28" s="195"/>
      <x:c r="R28" s="195"/>
      <x:c r="S28" s="195"/>
      <x:c r="T28" s="195"/>
      <x:c r="U28" s="195"/>
      <x:c r="V28" s="195"/>
      <x:c r="W28" s="195"/>
      <x:c r="X28" s="195"/>
      <x:c r="Y28" s="195"/>
      <x:c r="Z28" s="195"/>
    </x:row>
    <x:row r="29">
      <x:c r="A29" s="195"/>
      <x:c r="B29" s="195"/>
      <x:c r="C29" s="195"/>
      <x:c r="D29" s="195"/>
      <x:c r="E29" s="195"/>
      <x:c r="F29" s="195"/>
      <x:c r="G29" s="195"/>
      <x:c r="H29" s="195"/>
      <x:c r="I29" s="195"/>
      <x:c r="J29" s="195"/>
      <x:c r="K29" s="195"/>
      <x:c r="L29" s="195"/>
      <x:c r="M29" s="195"/>
      <x:c r="N29" s="195"/>
      <x:c r="O29" s="195"/>
      <x:c r="P29" s="195"/>
      <x:c r="Q29" s="195"/>
      <x:c r="R29" s="195"/>
      <x:c r="S29" s="195"/>
      <x:c r="T29" s="195"/>
      <x:c r="U29" s="195"/>
      <x:c r="V29" s="195"/>
      <x:c r="W29" s="195"/>
      <x:c r="X29" s="195"/>
      <x:c r="Y29" s="195"/>
      <x:c r="Z29" s="195"/>
    </x:row>
    <x:row r="30">
      <x:c r="A30" s="195"/>
      <x:c r="B30" s="195"/>
      <x:c r="C30" s="195"/>
      <x:c r="D30" s="195"/>
      <x:c r="E30" s="195"/>
      <x:c r="F30" s="195"/>
      <x:c r="G30" s="195"/>
      <x:c r="H30" s="195"/>
      <x:c r="I30" s="195"/>
      <x:c r="J30" s="195"/>
      <x:c r="K30" s="195"/>
      <x:c r="L30" s="195"/>
      <x:c r="M30" s="195"/>
      <x:c r="N30" s="195"/>
      <x:c r="O30" s="195"/>
      <x:c r="P30" s="195"/>
      <x:c r="Q30" s="195"/>
      <x:c r="R30" s="195"/>
      <x:c r="S30" s="195"/>
      <x:c r="T30" s="195"/>
      <x:c r="U30" s="195"/>
      <x:c r="V30" s="195"/>
      <x:c r="W30" s="195"/>
      <x:c r="X30" s="195"/>
      <x:c r="Y30" s="195"/>
      <x:c r="Z30" s="195"/>
    </x:row>
    <x:row r="31">
      <x:c r="A31" s="195"/>
      <x:c r="B31" s="195"/>
      <x:c r="C31" s="195"/>
      <x:c r="D31" s="195"/>
      <x:c r="E31" s="195"/>
      <x:c r="F31" s="195"/>
      <x:c r="G31" s="195"/>
      <x:c r="H31" s="195"/>
      <x:c r="I31" s="195"/>
      <x:c r="J31" s="195"/>
      <x:c r="K31" s="195"/>
      <x:c r="L31" s="195"/>
      <x:c r="M31" s="195"/>
      <x:c r="N31" s="195"/>
      <x:c r="O31" s="195"/>
      <x:c r="P31" s="195"/>
      <x:c r="Q31" s="195"/>
      <x:c r="R31" s="195"/>
      <x:c r="S31" s="195"/>
      <x:c r="T31" s="195"/>
      <x:c r="U31" s="195"/>
      <x:c r="V31" s="195"/>
      <x:c r="W31" s="195"/>
      <x:c r="X31" s="195"/>
      <x:c r="Y31" s="195"/>
      <x:c r="Z31" s="195"/>
    </x:row>
    <x:row r="32">
      <x:c r="A32" s="195"/>
      <x:c r="B32" s="195"/>
      <x:c r="C32" s="195"/>
      <x:c r="D32" s="195"/>
      <x:c r="E32" s="195"/>
      <x:c r="F32" s="195"/>
      <x:c r="G32" s="195"/>
      <x:c r="H32" s="195"/>
      <x:c r="I32" s="195"/>
      <x:c r="J32" s="195"/>
      <x:c r="K32" s="195"/>
      <x:c r="L32" s="195"/>
      <x:c r="M32" s="195"/>
      <x:c r="N32" s="195"/>
      <x:c r="O32" s="195"/>
      <x:c r="P32" s="195"/>
      <x:c r="Q32" s="195"/>
      <x:c r="R32" s="195"/>
      <x:c r="S32" s="195"/>
      <x:c r="T32" s="195"/>
      <x:c r="U32" s="195"/>
      <x:c r="V32" s="195"/>
      <x:c r="W32" s="195"/>
      <x:c r="X32" s="195"/>
      <x:c r="Y32" s="195"/>
      <x:c r="Z32" s="195"/>
    </x:row>
    <x:row r="33">
      <x:c r="A33" s="195"/>
      <x:c r="B33" s="195"/>
      <x:c r="C33" s="195"/>
      <x:c r="D33" s="195"/>
      <x:c r="E33" s="195"/>
      <x:c r="F33" s="195"/>
      <x:c r="G33" s="195"/>
      <x:c r="H33" s="195"/>
      <x:c r="I33" s="195"/>
      <x:c r="J33" s="195"/>
      <x:c r="K33" s="195"/>
      <x:c r="L33" s="195"/>
      <x:c r="M33" s="195"/>
      <x:c r="N33" s="195"/>
      <x:c r="O33" s="195"/>
      <x:c r="P33" s="195"/>
      <x:c r="Q33" s="195"/>
      <x:c r="R33" s="195"/>
      <x:c r="S33" s="195"/>
      <x:c r="T33" s="195"/>
      <x:c r="U33" s="195"/>
      <x:c r="V33" s="195"/>
      <x:c r="W33" s="195"/>
      <x:c r="X33" s="195"/>
      <x:c r="Y33" s="195"/>
      <x:c r="Z33" s="195"/>
    </x:row>
    <x:row r="34">
      <x:c r="A34" s="195"/>
      <x:c r="B34" s="195"/>
      <x:c r="C34" s="195"/>
      <x:c r="D34" s="195"/>
      <x:c r="E34" s="195"/>
      <x:c r="F34" s="195"/>
      <x:c r="G34" s="195"/>
      <x:c r="H34" s="195"/>
      <x:c r="I34" s="195"/>
      <x:c r="J34" s="195"/>
      <x:c r="K34" s="195"/>
      <x:c r="L34" s="195"/>
      <x:c r="M34" s="195"/>
      <x:c r="N34" s="195"/>
      <x:c r="O34" s="195"/>
      <x:c r="P34" s="195"/>
      <x:c r="Q34" s="195"/>
      <x:c r="R34" s="195"/>
      <x:c r="S34" s="195"/>
      <x:c r="T34" s="195"/>
      <x:c r="U34" s="195"/>
      <x:c r="V34" s="195"/>
      <x:c r="W34" s="195"/>
      <x:c r="X34" s="195"/>
      <x:c r="Y34" s="195"/>
      <x:c r="Z34" s="195"/>
    </x:row>
    <x:row r="35">
      <x:c r="A35" s="195"/>
      <x:c r="B35" s="195"/>
      <x:c r="C35" s="195"/>
      <x:c r="D35" s="195"/>
      <x:c r="E35" s="195"/>
      <x:c r="F35" s="195"/>
      <x:c r="G35" s="195"/>
      <x:c r="H35" s="195"/>
      <x:c r="I35" s="195"/>
      <x:c r="J35" s="195"/>
      <x:c r="K35" s="195"/>
      <x:c r="L35" s="195"/>
      <x:c r="M35" s="195"/>
      <x:c r="N35" s="195"/>
      <x:c r="O35" s="195"/>
      <x:c r="P35" s="195"/>
      <x:c r="Q35" s="195"/>
      <x:c r="R35" s="195"/>
      <x:c r="S35" s="195"/>
      <x:c r="T35" s="195"/>
      <x:c r="U35" s="195"/>
      <x:c r="V35" s="195"/>
      <x:c r="W35" s="195"/>
      <x:c r="X35" s="195"/>
      <x:c r="Y35" s="195"/>
      <x:c r="Z35" s="195"/>
    </x:row>
    <x:row r="36">
      <x:c r="A36" s="195"/>
      <x:c r="B36" s="195"/>
      <x:c r="C36" s="195"/>
      <x:c r="D36" s="195"/>
      <x:c r="E36" s="195"/>
      <x:c r="F36" s="195"/>
      <x:c r="G36" s="195"/>
      <x:c r="H36" s="195"/>
      <x:c r="I36" s="195"/>
      <x:c r="J36" s="195"/>
      <x:c r="K36" s="195"/>
      <x:c r="L36" s="195"/>
      <x:c r="M36" s="195"/>
      <x:c r="N36" s="195"/>
      <x:c r="O36" s="195"/>
      <x:c r="P36" s="195"/>
      <x:c r="Q36" s="195"/>
      <x:c r="R36" s="195"/>
      <x:c r="S36" s="195"/>
      <x:c r="T36" s="195"/>
      <x:c r="U36" s="195"/>
      <x:c r="V36" s="195"/>
      <x:c r="W36" s="195"/>
      <x:c r="X36" s="195"/>
      <x:c r="Y36" s="195"/>
      <x:c r="Z36" s="195"/>
    </x:row>
    <x:row r="37">
      <x:c r="A37" s="195"/>
      <x:c r="B37" s="195"/>
      <x:c r="C37" s="195"/>
      <x:c r="D37" s="195"/>
      <x:c r="E37" s="195"/>
      <x:c r="F37" s="195"/>
      <x:c r="G37" s="195"/>
      <x:c r="H37" s="195"/>
      <x:c r="I37" s="195"/>
      <x:c r="J37" s="195"/>
      <x:c r="K37" s="195"/>
      <x:c r="L37" s="195"/>
      <x:c r="M37" s="195"/>
      <x:c r="N37" s="195"/>
      <x:c r="O37" s="195"/>
      <x:c r="P37" s="195"/>
      <x:c r="Q37" s="195"/>
      <x:c r="R37" s="195"/>
      <x:c r="S37" s="195"/>
      <x:c r="T37" s="195"/>
      <x:c r="U37" s="195"/>
      <x:c r="V37" s="195"/>
      <x:c r="W37" s="195"/>
      <x:c r="X37" s="195"/>
      <x:c r="Y37" s="195"/>
      <x:c r="Z37" s="195"/>
    </x:row>
    <x:row r="38">
      <x:c r="A38" s="195"/>
      <x:c r="B38" s="195"/>
      <x:c r="C38" s="195"/>
      <x:c r="D38" s="195"/>
      <x:c r="E38" s="195"/>
      <x:c r="F38" s="195"/>
      <x:c r="G38" s="195"/>
      <x:c r="H38" s="195"/>
      <x:c r="I38" s="195"/>
      <x:c r="J38" s="195"/>
      <x:c r="K38" s="195"/>
      <x:c r="L38" s="195"/>
      <x:c r="M38" s="195"/>
      <x:c r="N38" s="195"/>
      <x:c r="O38" s="195"/>
      <x:c r="P38" s="195"/>
      <x:c r="Q38" s="195"/>
      <x:c r="R38" s="195"/>
      <x:c r="S38" s="195"/>
      <x:c r="T38" s="195"/>
      <x:c r="U38" s="195"/>
      <x:c r="V38" s="195"/>
      <x:c r="W38" s="195"/>
      <x:c r="X38" s="195"/>
      <x:c r="Y38" s="195"/>
      <x:c r="Z38" s="195"/>
    </x:row>
    <x:row r="39">
      <x:c r="A39" s="195"/>
      <x:c r="B39" s="195"/>
      <x:c r="C39" s="195"/>
      <x:c r="D39" s="195"/>
      <x:c r="E39" s="195"/>
      <x:c r="F39" s="195"/>
      <x:c r="G39" s="195"/>
      <x:c r="H39" s="195"/>
      <x:c r="I39" s="195"/>
      <x:c r="J39" s="195"/>
      <x:c r="K39" s="195"/>
      <x:c r="L39" s="195"/>
      <x:c r="M39" s="195"/>
      <x:c r="N39" s="195"/>
      <x:c r="O39" s="195"/>
      <x:c r="P39" s="195"/>
      <x:c r="Q39" s="195"/>
      <x:c r="R39" s="195"/>
      <x:c r="S39" s="195"/>
      <x:c r="T39" s="195"/>
      <x:c r="U39" s="195"/>
      <x:c r="V39" s="195"/>
      <x:c r="W39" s="195"/>
      <x:c r="X39" s="195"/>
      <x:c r="Y39" s="195"/>
      <x:c r="Z39" s="195"/>
    </x:row>
    <x:row r="40">
      <x:c r="A40" s="195"/>
      <x:c r="B40" s="195"/>
      <x:c r="C40" s="195"/>
      <x:c r="D40" s="195"/>
      <x:c r="E40" s="195"/>
      <x:c r="F40" s="195"/>
      <x:c r="G40" s="195"/>
      <x:c r="H40" s="195"/>
      <x:c r="I40" s="195"/>
      <x:c r="J40" s="195"/>
      <x:c r="K40" s="195"/>
      <x:c r="L40" s="195"/>
      <x:c r="M40" s="195"/>
      <x:c r="N40" s="195"/>
      <x:c r="O40" s="195"/>
      <x:c r="P40" s="195"/>
      <x:c r="Q40" s="195"/>
      <x:c r="R40" s="195"/>
      <x:c r="S40" s="195"/>
      <x:c r="T40" s="195"/>
      <x:c r="U40" s="195"/>
      <x:c r="V40" s="195"/>
      <x:c r="W40" s="195"/>
      <x:c r="X40" s="195"/>
      <x:c r="Y40" s="195"/>
      <x:c r="Z40" s="195"/>
    </x:row>
    <x:row r="41">
      <x:c r="A41" s="195"/>
      <x:c r="B41" s="195"/>
      <x:c r="C41" s="195"/>
      <x:c r="D41" s="195"/>
      <x:c r="E41" s="195"/>
      <x:c r="F41" s="195"/>
      <x:c r="G41" s="195"/>
      <x:c r="H41" s="195"/>
      <x:c r="I41" s="195"/>
      <x:c r="J41" s="195"/>
      <x:c r="K41" s="195"/>
      <x:c r="L41" s="195"/>
      <x:c r="M41" s="195"/>
      <x:c r="N41" s="195"/>
      <x:c r="O41" s="195"/>
      <x:c r="P41" s="195"/>
      <x:c r="Q41" s="195"/>
      <x:c r="R41" s="195"/>
      <x:c r="S41" s="195"/>
      <x:c r="T41" s="195"/>
      <x:c r="U41" s="195"/>
      <x:c r="V41" s="195"/>
      <x:c r="W41" s="195"/>
      <x:c r="X41" s="195"/>
      <x:c r="Y41" s="195"/>
      <x:c r="Z41" s="195"/>
    </x:row>
    <x:row r="42">
      <x:c r="A42" s="195"/>
      <x:c r="B42" s="195"/>
      <x:c r="C42" s="195"/>
      <x:c r="D42" s="195"/>
      <x:c r="E42" s="195"/>
      <x:c r="F42" s="195"/>
      <x:c r="G42" s="195"/>
      <x:c r="H42" s="195"/>
      <x:c r="I42" s="195"/>
      <x:c r="J42" s="195"/>
      <x:c r="K42" s="195"/>
      <x:c r="L42" s="195"/>
      <x:c r="M42" s="195"/>
      <x:c r="N42" s="195"/>
      <x:c r="O42" s="195"/>
      <x:c r="P42" s="195"/>
      <x:c r="Q42" s="195"/>
      <x:c r="R42" s="195"/>
      <x:c r="S42" s="195"/>
      <x:c r="T42" s="195"/>
      <x:c r="U42" s="195"/>
      <x:c r="V42" s="195"/>
      <x:c r="W42" s="195"/>
      <x:c r="X42" s="195"/>
      <x:c r="Y42" s="195"/>
      <x:c r="Z42" s="195"/>
    </x:row>
    <x:row r="43">
      <x:c r="A43" s="195"/>
      <x:c r="B43" s="195"/>
      <x:c r="C43" s="195"/>
      <x:c r="D43" s="195"/>
      <x:c r="E43" s="195"/>
      <x:c r="F43" s="195"/>
      <x:c r="G43" s="195"/>
      <x:c r="H43" s="195"/>
      <x:c r="I43" s="195"/>
      <x:c r="J43" s="195"/>
      <x:c r="K43" s="195"/>
      <x:c r="L43" s="195"/>
      <x:c r="M43" s="195"/>
      <x:c r="N43" s="195"/>
      <x:c r="O43" s="195"/>
      <x:c r="P43" s="195"/>
      <x:c r="Q43" s="195"/>
      <x:c r="R43" s="195"/>
      <x:c r="S43" s="195"/>
      <x:c r="T43" s="195"/>
      <x:c r="U43" s="195"/>
      <x:c r="V43" s="195"/>
      <x:c r="W43" s="195"/>
      <x:c r="X43" s="195"/>
      <x:c r="Y43" s="195"/>
      <x:c r="Z43" s="195"/>
    </x:row>
    <x:row r="44">
      <x:c r="A44" s="195"/>
      <x:c r="B44" s="195"/>
      <x:c r="C44" s="195"/>
      <x:c r="D44" s="195"/>
      <x:c r="E44" s="195"/>
      <x:c r="F44" s="195"/>
      <x:c r="G44" s="195"/>
      <x:c r="H44" s="195"/>
      <x:c r="I44" s="195"/>
      <x:c r="J44" s="195"/>
      <x:c r="K44" s="195"/>
      <x:c r="L44" s="195"/>
      <x:c r="M44" s="195"/>
      <x:c r="N44" s="195"/>
      <x:c r="O44" s="195"/>
      <x:c r="P44" s="195"/>
      <x:c r="Q44" s="195"/>
      <x:c r="R44" s="195"/>
      <x:c r="S44" s="195"/>
      <x:c r="T44" s="195"/>
      <x:c r="U44" s="195"/>
      <x:c r="V44" s="195"/>
      <x:c r="W44" s="195"/>
      <x:c r="X44" s="195"/>
      <x:c r="Y44" s="195"/>
      <x:c r="Z44" s="195"/>
    </x:row>
    <x:row r="45">
      <x:c r="A45" s="195"/>
      <x:c r="B45" s="195"/>
      <x:c r="C45" s="195"/>
      <x:c r="D45" s="195"/>
      <x:c r="E45" s="195"/>
      <x:c r="F45" s="195"/>
      <x:c r="G45" s="195"/>
      <x:c r="H45" s="195"/>
      <x:c r="I45" s="195"/>
      <x:c r="J45" s="195"/>
      <x:c r="K45" s="195"/>
      <x:c r="L45" s="195"/>
      <x:c r="M45" s="195"/>
      <x:c r="N45" s="195"/>
      <x:c r="O45" s="195"/>
      <x:c r="P45" s="195"/>
      <x:c r="Q45" s="195"/>
      <x:c r="R45" s="195"/>
      <x:c r="S45" s="195"/>
      <x:c r="T45" s="195"/>
      <x:c r="U45" s="195"/>
      <x:c r="V45" s="195"/>
      <x:c r="W45" s="195"/>
      <x:c r="X45" s="195"/>
      <x:c r="Y45" s="195"/>
      <x:c r="Z45" s="195"/>
    </x:row>
    <x:row r="46">
      <x:c r="A46" s="195"/>
      <x:c r="B46" s="195"/>
      <x:c r="C46" s="195"/>
      <x:c r="D46" s="195"/>
      <x:c r="E46" s="195"/>
      <x:c r="F46" s="195"/>
      <x:c r="G46" s="195"/>
      <x:c r="H46" s="195"/>
      <x:c r="I46" s="195"/>
      <x:c r="J46" s="195"/>
      <x:c r="K46" s="195"/>
      <x:c r="L46" s="195"/>
      <x:c r="M46" s="195"/>
      <x:c r="N46" s="195"/>
      <x:c r="O46" s="195"/>
      <x:c r="P46" s="195"/>
      <x:c r="Q46" s="195"/>
      <x:c r="R46" s="195"/>
      <x:c r="S46" s="195"/>
      <x:c r="T46" s="195"/>
      <x:c r="U46" s="195"/>
      <x:c r="V46" s="195"/>
      <x:c r="W46" s="195"/>
      <x:c r="X46" s="195"/>
      <x:c r="Y46" s="195"/>
      <x:c r="Z46" s="195"/>
    </x:row>
    <x:row r="47">
      <x:c r="A47" s="195"/>
      <x:c r="B47" s="195"/>
      <x:c r="C47" s="195"/>
      <x:c r="D47" s="195"/>
      <x:c r="E47" s="195"/>
      <x:c r="F47" s="195"/>
      <x:c r="G47" s="195"/>
      <x:c r="H47" s="195"/>
      <x:c r="I47" s="195"/>
      <x:c r="J47" s="195"/>
      <x:c r="K47" s="195"/>
      <x:c r="L47" s="195"/>
      <x:c r="M47" s="195"/>
      <x:c r="N47" s="195"/>
      <x:c r="O47" s="195"/>
      <x:c r="P47" s="195"/>
      <x:c r="Q47" s="195"/>
      <x:c r="R47" s="195"/>
      <x:c r="S47" s="195"/>
      <x:c r="T47" s="195"/>
      <x:c r="U47" s="195"/>
      <x:c r="V47" s="195"/>
      <x:c r="W47" s="195"/>
      <x:c r="X47" s="195"/>
      <x:c r="Y47" s="195"/>
      <x:c r="Z47" s="195"/>
    </x:row>
    <x:row r="48">
      <x:c r="A48" s="195"/>
      <x:c r="B48" s="195"/>
      <x:c r="C48" s="195"/>
      <x:c r="D48" s="195"/>
      <x:c r="E48" s="195"/>
      <x:c r="F48" s="195"/>
      <x:c r="G48" s="195"/>
      <x:c r="H48" s="195"/>
      <x:c r="I48" s="195"/>
      <x:c r="J48" s="195"/>
      <x:c r="K48" s="195"/>
      <x:c r="L48" s="195"/>
      <x:c r="M48" s="195"/>
      <x:c r="N48" s="195"/>
      <x:c r="O48" s="195"/>
      <x:c r="P48" s="195"/>
      <x:c r="Q48" s="195"/>
      <x:c r="R48" s="195"/>
      <x:c r="S48" s="195"/>
      <x:c r="T48" s="195"/>
      <x:c r="U48" s="195"/>
      <x:c r="V48" s="195"/>
      <x:c r="W48" s="195"/>
      <x:c r="X48" s="195"/>
      <x:c r="Y48" s="195"/>
      <x:c r="Z48" s="195"/>
    </x:row>
    <x:row r="49">
      <x:c r="A49" s="195"/>
      <x:c r="B49" s="195"/>
      <x:c r="C49" s="195"/>
      <x:c r="D49" s="195"/>
      <x:c r="E49" s="195"/>
      <x:c r="F49" s="195"/>
      <x:c r="G49" s="195"/>
      <x:c r="H49" s="195"/>
      <x:c r="I49" s="195"/>
      <x:c r="J49" s="195"/>
      <x:c r="K49" s="195"/>
      <x:c r="L49" s="195"/>
      <x:c r="M49" s="195"/>
      <x:c r="N49" s="195"/>
      <x:c r="O49" s="195"/>
      <x:c r="P49" s="195"/>
      <x:c r="Q49" s="195"/>
      <x:c r="R49" s="195"/>
      <x:c r="S49" s="195"/>
      <x:c r="T49" s="195"/>
      <x:c r="U49" s="195"/>
      <x:c r="V49" s="195"/>
      <x:c r="W49" s="195"/>
      <x:c r="X49" s="195"/>
      <x:c r="Y49" s="195"/>
      <x:c r="Z49" s="195"/>
    </x:row>
    <x:row r="50">
      <x:c r="A50" s="195"/>
      <x:c r="B50" s="195"/>
      <x:c r="C50" s="195"/>
      <x:c r="D50" s="195"/>
      <x:c r="E50" s="195"/>
      <x:c r="F50" s="195"/>
      <x:c r="G50" s="195"/>
      <x:c r="H50" s="195"/>
      <x:c r="I50" s="195"/>
      <x:c r="J50" s="195"/>
      <x:c r="K50" s="195"/>
      <x:c r="L50" s="195"/>
      <x:c r="M50" s="195"/>
      <x:c r="N50" s="195"/>
      <x:c r="O50" s="195"/>
      <x:c r="P50" s="195"/>
      <x:c r="Q50" s="195"/>
      <x:c r="R50" s="195"/>
      <x:c r="S50" s="195"/>
      <x:c r="T50" s="195"/>
      <x:c r="U50" s="195"/>
      <x:c r="V50" s="195"/>
      <x:c r="W50" s="195"/>
      <x:c r="X50" s="195"/>
      <x:c r="Y50" s="195"/>
      <x:c r="Z50" s="195"/>
    </x:row>
    <x:row r="51">
      <x:c r="A51" s="195"/>
      <x:c r="B51" s="195"/>
      <x:c r="C51" s="195"/>
      <x:c r="D51" s="195"/>
      <x:c r="E51" s="195"/>
      <x:c r="F51" s="195"/>
      <x:c r="G51" s="195"/>
      <x:c r="H51" s="195"/>
      <x:c r="I51" s="195"/>
      <x:c r="J51" s="195"/>
      <x:c r="K51" s="195"/>
      <x:c r="L51" s="195"/>
      <x:c r="M51" s="195"/>
      <x:c r="N51" s="195"/>
      <x:c r="O51" s="195"/>
      <x:c r="P51" s="195"/>
      <x:c r="Q51" s="195"/>
      <x:c r="R51" s="195"/>
      <x:c r="S51" s="195"/>
      <x:c r="T51" s="195"/>
      <x:c r="U51" s="195"/>
      <x:c r="V51" s="195"/>
      <x:c r="W51" s="195"/>
      <x:c r="X51" s="195"/>
      <x:c r="Y51" s="195"/>
      <x:c r="Z51" s="195"/>
    </x:row>
    <x:row r="52">
      <x:c r="A52" s="195"/>
      <x:c r="B52" s="195"/>
      <x:c r="C52" s="195"/>
      <x:c r="D52" s="195"/>
      <x:c r="E52" s="195"/>
      <x:c r="F52" s="195"/>
      <x:c r="G52" s="195"/>
      <x:c r="H52" s="195"/>
      <x:c r="I52" s="195"/>
      <x:c r="J52" s="195"/>
      <x:c r="K52" s="195"/>
      <x:c r="L52" s="195"/>
      <x:c r="M52" s="195"/>
      <x:c r="N52" s="195"/>
      <x:c r="O52" s="195"/>
      <x:c r="P52" s="195"/>
      <x:c r="Q52" s="195"/>
      <x:c r="R52" s="195"/>
      <x:c r="S52" s="195"/>
      <x:c r="T52" s="195"/>
      <x:c r="U52" s="195"/>
      <x:c r="V52" s="195"/>
      <x:c r="W52" s="195"/>
      <x:c r="X52" s="195"/>
      <x:c r="Y52" s="195"/>
      <x:c r="Z52" s="195"/>
    </x:row>
    <x:row r="53">
      <x:c r="A53" s="195"/>
      <x:c r="B53" s="195"/>
      <x:c r="C53" s="195"/>
      <x:c r="D53" s="195"/>
      <x:c r="E53" s="195"/>
      <x:c r="F53" s="195"/>
      <x:c r="G53" s="195"/>
      <x:c r="H53" s="195"/>
      <x:c r="I53" s="195"/>
      <x:c r="J53" s="195"/>
      <x:c r="K53" s="195"/>
      <x:c r="L53" s="195"/>
      <x:c r="M53" s="195"/>
      <x:c r="N53" s="195"/>
      <x:c r="O53" s="195"/>
      <x:c r="P53" s="195"/>
      <x:c r="Q53" s="195"/>
      <x:c r="R53" s="195"/>
      <x:c r="S53" s="195"/>
      <x:c r="T53" s="195"/>
      <x:c r="U53" s="195"/>
      <x:c r="V53" s="195"/>
      <x:c r="W53" s="195"/>
      <x:c r="X53" s="195"/>
      <x:c r="Y53" s="195"/>
      <x:c r="Z53" s="195"/>
    </x:row>
    <x:row r="54">
      <x:c r="A54" s="195"/>
      <x:c r="B54" s="195"/>
      <x:c r="C54" s="195"/>
      <x:c r="D54" s="195"/>
      <x:c r="E54" s="195"/>
      <x:c r="F54" s="195"/>
      <x:c r="G54" s="195"/>
      <x:c r="H54" s="195"/>
      <x:c r="I54" s="195"/>
      <x:c r="J54" s="195"/>
      <x:c r="K54" s="195"/>
      <x:c r="L54" s="195"/>
      <x:c r="M54" s="195"/>
      <x:c r="N54" s="195"/>
      <x:c r="O54" s="195"/>
      <x:c r="P54" s="195"/>
      <x:c r="Q54" s="195"/>
      <x:c r="R54" s="195"/>
      <x:c r="S54" s="195"/>
      <x:c r="T54" s="195"/>
      <x:c r="U54" s="195"/>
      <x:c r="V54" s="195"/>
      <x:c r="W54" s="195"/>
      <x:c r="X54" s="195"/>
      <x:c r="Y54" s="195"/>
      <x:c r="Z54" s="195"/>
    </x:row>
    <x:row r="55">
      <x:c r="A55" s="195"/>
      <x:c r="B55" s="195"/>
      <x:c r="C55" s="195"/>
      <x:c r="D55" s="195"/>
      <x:c r="E55" s="195"/>
      <x:c r="F55" s="195"/>
      <x:c r="G55" s="195"/>
      <x:c r="H55" s="195"/>
      <x:c r="I55" s="195"/>
      <x:c r="J55" s="195"/>
      <x:c r="K55" s="195"/>
      <x:c r="L55" s="195"/>
      <x:c r="M55" s="195"/>
      <x:c r="N55" s="195"/>
      <x:c r="O55" s="195"/>
      <x:c r="P55" s="195"/>
      <x:c r="Q55" s="195"/>
      <x:c r="R55" s="195"/>
      <x:c r="S55" s="195"/>
      <x:c r="T55" s="195"/>
      <x:c r="U55" s="195"/>
      <x:c r="V55" s="195"/>
      <x:c r="W55" s="195"/>
      <x:c r="X55" s="195"/>
      <x:c r="Y55" s="195"/>
      <x:c r="Z55" s="195"/>
    </x:row>
    <x:row r="56">
      <x:c r="A56" s="195"/>
      <x:c r="B56" s="195"/>
      <x:c r="C56" s="195"/>
      <x:c r="D56" s="195"/>
      <x:c r="E56" s="195"/>
      <x:c r="F56" s="195"/>
      <x:c r="G56" s="195"/>
      <x:c r="H56" s="195"/>
      <x:c r="I56" s="195"/>
      <x:c r="J56" s="195"/>
      <x:c r="K56" s="195"/>
      <x:c r="L56" s="195"/>
      <x:c r="M56" s="195"/>
      <x:c r="N56" s="195"/>
      <x:c r="O56" s="195"/>
      <x:c r="P56" s="195"/>
      <x:c r="Q56" s="195"/>
      <x:c r="R56" s="195"/>
      <x:c r="S56" s="195"/>
      <x:c r="T56" s="195"/>
      <x:c r="U56" s="195"/>
      <x:c r="V56" s="195"/>
      <x:c r="W56" s="195"/>
      <x:c r="X56" s="195"/>
      <x:c r="Y56" s="195"/>
      <x:c r="Z56" s="195"/>
    </x:row>
    <x:row r="57">
      <x:c r="A57" s="195"/>
      <x:c r="B57" s="195"/>
      <x:c r="C57" s="195"/>
      <x:c r="D57" s="195"/>
      <x:c r="E57" s="195"/>
      <x:c r="F57" s="195"/>
      <x:c r="G57" s="195"/>
      <x:c r="H57" s="195"/>
      <x:c r="I57" s="195"/>
      <x:c r="J57" s="195"/>
      <x:c r="K57" s="195"/>
      <x:c r="L57" s="195"/>
      <x:c r="M57" s="195"/>
      <x:c r="N57" s="195"/>
      <x:c r="O57" s="195"/>
      <x:c r="P57" s="195"/>
      <x:c r="Q57" s="195"/>
      <x:c r="R57" s="195"/>
      <x:c r="S57" s="195"/>
      <x:c r="T57" s="195"/>
      <x:c r="U57" s="195"/>
      <x:c r="V57" s="195"/>
      <x:c r="W57" s="195"/>
      <x:c r="X57" s="195"/>
      <x:c r="Y57" s="195"/>
      <x:c r="Z57" s="195"/>
    </x:row>
    <x:row r="58">
      <x:c r="A58" s="195"/>
      <x:c r="B58" s="195"/>
      <x:c r="C58" s="195"/>
      <x:c r="D58" s="195"/>
      <x:c r="E58" s="195"/>
      <x:c r="F58" s="195"/>
      <x:c r="G58" s="195"/>
      <x:c r="H58" s="195"/>
      <x:c r="I58" s="195"/>
      <x:c r="J58" s="195"/>
      <x:c r="K58" s="195"/>
      <x:c r="L58" s="195"/>
      <x:c r="M58" s="195"/>
      <x:c r="N58" s="195"/>
      <x:c r="O58" s="195"/>
      <x:c r="P58" s="195"/>
      <x:c r="Q58" s="195"/>
      <x:c r="R58" s="195"/>
      <x:c r="S58" s="195"/>
      <x:c r="T58" s="195"/>
      <x:c r="U58" s="195"/>
      <x:c r="V58" s="195"/>
      <x:c r="W58" s="195"/>
      <x:c r="X58" s="195"/>
      <x:c r="Y58" s="195"/>
      <x:c r="Z58" s="195"/>
    </x:row>
    <x:row r="59">
      <x:c r="A59" s="195"/>
      <x:c r="B59" s="195"/>
      <x:c r="C59" s="195"/>
      <x:c r="D59" s="195"/>
      <x:c r="E59" s="195"/>
      <x:c r="F59" s="195"/>
      <x:c r="G59" s="195"/>
      <x:c r="H59" s="195"/>
      <x:c r="I59" s="195"/>
      <x:c r="J59" s="195"/>
      <x:c r="K59" s="195"/>
      <x:c r="L59" s="195"/>
      <x:c r="M59" s="195"/>
      <x:c r="N59" s="195"/>
      <x:c r="O59" s="195"/>
      <x:c r="P59" s="195"/>
      <x:c r="Q59" s="195"/>
      <x:c r="R59" s="195"/>
      <x:c r="S59" s="195"/>
      <x:c r="T59" s="195"/>
      <x:c r="U59" s="195"/>
      <x:c r="V59" s="195"/>
      <x:c r="W59" s="195"/>
      <x:c r="X59" s="195"/>
      <x:c r="Y59" s="195"/>
      <x:c r="Z59" s="195"/>
    </x:row>
    <x:row r="60">
      <x:c r="A60" s="195"/>
      <x:c r="B60" s="195"/>
      <x:c r="C60" s="195"/>
      <x:c r="D60" s="195"/>
      <x:c r="E60" s="195"/>
      <x:c r="F60" s="195"/>
      <x:c r="G60" s="195"/>
      <x:c r="H60" s="195"/>
      <x:c r="I60" s="195"/>
      <x:c r="J60" s="195"/>
      <x:c r="K60" s="195"/>
      <x:c r="L60" s="195"/>
      <x:c r="M60" s="195"/>
      <x:c r="N60" s="195"/>
      <x:c r="O60" s="195"/>
      <x:c r="P60" s="195"/>
      <x:c r="Q60" s="195"/>
      <x:c r="R60" s="195"/>
      <x:c r="S60" s="195"/>
      <x:c r="T60" s="195"/>
      <x:c r="U60" s="195"/>
      <x:c r="V60" s="195"/>
      <x:c r="W60" s="195"/>
      <x:c r="X60" s="195"/>
      <x:c r="Y60" s="195"/>
      <x:c r="Z60" s="195"/>
    </x:row>
    <x:row r="61">
      <x:c r="A61" s="195"/>
      <x:c r="B61" s="195"/>
      <x:c r="C61" s="195"/>
      <x:c r="D61" s="195"/>
      <x:c r="E61" s="195"/>
      <x:c r="F61" s="195"/>
      <x:c r="G61" s="195"/>
      <x:c r="H61" s="195"/>
      <x:c r="I61" s="195"/>
      <x:c r="J61" s="195"/>
      <x:c r="K61" s="195"/>
      <x:c r="L61" s="195"/>
      <x:c r="M61" s="195"/>
      <x:c r="N61" s="195"/>
      <x:c r="O61" s="195"/>
      <x:c r="P61" s="195"/>
      <x:c r="Q61" s="195"/>
      <x:c r="R61" s="195"/>
      <x:c r="S61" s="195"/>
      <x:c r="T61" s="195"/>
      <x:c r="U61" s="195"/>
      <x:c r="V61" s="195"/>
      <x:c r="W61" s="195"/>
      <x:c r="X61" s="195"/>
      <x:c r="Y61" s="195"/>
      <x:c r="Z61" s="195"/>
    </x:row>
    <x:row r="62">
      <x:c r="A62" s="195"/>
      <x:c r="B62" s="195"/>
      <x:c r="C62" s="195"/>
      <x:c r="D62" s="195"/>
      <x:c r="E62" s="195"/>
      <x:c r="F62" s="195"/>
      <x:c r="G62" s="195"/>
      <x:c r="H62" s="195"/>
      <x:c r="I62" s="195"/>
      <x:c r="J62" s="195"/>
      <x:c r="K62" s="195"/>
      <x:c r="L62" s="195"/>
      <x:c r="M62" s="195"/>
      <x:c r="N62" s="195"/>
      <x:c r="O62" s="195"/>
      <x:c r="P62" s="195"/>
      <x:c r="Q62" s="195"/>
      <x:c r="R62" s="195"/>
      <x:c r="S62" s="195"/>
      <x:c r="T62" s="195"/>
      <x:c r="U62" s="195"/>
      <x:c r="V62" s="195"/>
      <x:c r="W62" s="195"/>
      <x:c r="X62" s="195"/>
      <x:c r="Y62" s="195"/>
      <x:c r="Z62" s="195"/>
    </x:row>
    <x:row r="63">
      <x:c r="A63" s="195"/>
      <x:c r="B63" s="195"/>
      <x:c r="C63" s="195"/>
      <x:c r="D63" s="195"/>
      <x:c r="E63" s="195"/>
      <x:c r="F63" s="195"/>
      <x:c r="G63" s="195"/>
      <x:c r="H63" s="195"/>
      <x:c r="I63" s="195"/>
      <x:c r="J63" s="195"/>
      <x:c r="K63" s="195"/>
      <x:c r="L63" s="195"/>
      <x:c r="M63" s="195"/>
      <x:c r="N63" s="195"/>
      <x:c r="O63" s="195"/>
      <x:c r="P63" s="195"/>
      <x:c r="Q63" s="195"/>
      <x:c r="R63" s="195"/>
      <x:c r="S63" s="195"/>
      <x:c r="T63" s="195"/>
      <x:c r="U63" s="195"/>
      <x:c r="V63" s="195"/>
      <x:c r="W63" s="195"/>
      <x:c r="X63" s="195"/>
      <x:c r="Y63" s="195"/>
      <x:c r="Z63" s="195"/>
    </x:row>
    <x:row r="64">
      <x:c r="A64" s="195"/>
      <x:c r="B64" s="195"/>
      <x:c r="C64" s="195"/>
      <x:c r="D64" s="195"/>
      <x:c r="E64" s="195"/>
      <x:c r="F64" s="195"/>
      <x:c r="G64" s="195"/>
      <x:c r="H64" s="195"/>
      <x:c r="I64" s="195"/>
      <x:c r="J64" s="195"/>
      <x:c r="K64" s="195"/>
      <x:c r="L64" s="195"/>
      <x:c r="M64" s="195"/>
      <x:c r="N64" s="195"/>
      <x:c r="O64" s="195"/>
      <x:c r="P64" s="195"/>
      <x:c r="Q64" s="195"/>
      <x:c r="R64" s="195"/>
      <x:c r="S64" s="195"/>
      <x:c r="T64" s="195"/>
      <x:c r="U64" s="195"/>
      <x:c r="V64" s="195"/>
      <x:c r="W64" s="195"/>
      <x:c r="X64" s="195"/>
      <x:c r="Y64" s="195"/>
      <x:c r="Z64" s="195"/>
    </x:row>
    <x:row r="65">
      <x:c r="A65" s="195"/>
      <x:c r="B65" s="195"/>
      <x:c r="C65" s="195"/>
      <x:c r="D65" s="195"/>
      <x:c r="E65" s="195"/>
      <x:c r="F65" s="195"/>
      <x:c r="G65" s="195"/>
      <x:c r="H65" s="195"/>
      <x:c r="I65" s="195"/>
      <x:c r="J65" s="195"/>
      <x:c r="K65" s="195"/>
      <x:c r="L65" s="195"/>
      <x:c r="M65" s="195"/>
      <x:c r="N65" s="195"/>
      <x:c r="O65" s="195"/>
      <x:c r="P65" s="195"/>
      <x:c r="Q65" s="195"/>
      <x:c r="R65" s="195"/>
      <x:c r="S65" s="195"/>
      <x:c r="T65" s="195"/>
      <x:c r="U65" s="195"/>
      <x:c r="V65" s="195"/>
      <x:c r="W65" s="195"/>
      <x:c r="X65" s="195"/>
      <x:c r="Y65" s="195"/>
      <x:c r="Z65" s="195"/>
    </x:row>
    <x:row r="66">
      <x:c r="A66" s="195"/>
      <x:c r="B66" s="195"/>
      <x:c r="C66" s="195"/>
      <x:c r="D66" s="195"/>
      <x:c r="E66" s="195"/>
      <x:c r="F66" s="195"/>
      <x:c r="G66" s="195"/>
      <x:c r="H66" s="195"/>
      <x:c r="I66" s="195"/>
      <x:c r="J66" s="195"/>
      <x:c r="K66" s="195"/>
      <x:c r="L66" s="195"/>
      <x:c r="M66" s="195"/>
      <x:c r="N66" s="195"/>
      <x:c r="O66" s="195"/>
      <x:c r="P66" s="195"/>
      <x:c r="Q66" s="195"/>
      <x:c r="R66" s="195"/>
      <x:c r="S66" s="195"/>
      <x:c r="T66" s="195"/>
      <x:c r="U66" s="195"/>
      <x:c r="V66" s="195"/>
      <x:c r="W66" s="195"/>
      <x:c r="X66" s="195"/>
      <x:c r="Y66" s="195"/>
      <x:c r="Z66" s="195"/>
    </x:row>
    <x:row r="67">
      <x:c r="A67" s="195"/>
      <x:c r="B67" s="195"/>
      <x:c r="C67" s="195"/>
      <x:c r="D67" s="195"/>
      <x:c r="E67" s="195"/>
      <x:c r="F67" s="195"/>
      <x:c r="G67" s="195"/>
      <x:c r="H67" s="195"/>
      <x:c r="I67" s="195"/>
      <x:c r="J67" s="195"/>
      <x:c r="K67" s="195"/>
      <x:c r="L67" s="195"/>
      <x:c r="M67" s="195"/>
      <x:c r="N67" s="195"/>
      <x:c r="O67" s="195"/>
      <x:c r="P67" s="195"/>
      <x:c r="Q67" s="195"/>
      <x:c r="R67" s="195"/>
      <x:c r="S67" s="195"/>
      <x:c r="T67" s="195"/>
      <x:c r="U67" s="195"/>
      <x:c r="V67" s="195"/>
      <x:c r="W67" s="195"/>
      <x:c r="X67" s="195"/>
      <x:c r="Y67" s="195"/>
      <x:c r="Z67" s="195"/>
    </x:row>
    <x:row r="68">
      <x:c r="A68" s="195"/>
      <x:c r="B68" s="195"/>
      <x:c r="C68" s="195"/>
      <x:c r="D68" s="195"/>
      <x:c r="E68" s="195"/>
      <x:c r="F68" s="195"/>
      <x:c r="G68" s="195"/>
      <x:c r="H68" s="195"/>
      <x:c r="I68" s="195"/>
      <x:c r="J68" s="195"/>
      <x:c r="K68" s="195"/>
      <x:c r="L68" s="195"/>
      <x:c r="M68" s="195"/>
      <x:c r="N68" s="195"/>
      <x:c r="O68" s="195"/>
      <x:c r="P68" s="195"/>
      <x:c r="Q68" s="195"/>
      <x:c r="R68" s="195"/>
      <x:c r="S68" s="195"/>
      <x:c r="T68" s="195"/>
      <x:c r="U68" s="195"/>
      <x:c r="V68" s="195"/>
      <x:c r="W68" s="195"/>
      <x:c r="X68" s="195"/>
      <x:c r="Y68" s="195"/>
      <x:c r="Z68" s="195"/>
    </x:row>
    <x:row r="69">
      <x:c r="A69" s="195"/>
      <x:c r="B69" s="195"/>
      <x:c r="C69" s="195"/>
      <x:c r="D69" s="195"/>
      <x:c r="E69" s="195"/>
      <x:c r="F69" s="195"/>
      <x:c r="G69" s="195"/>
      <x:c r="H69" s="195"/>
      <x:c r="I69" s="195"/>
      <x:c r="J69" s="195"/>
      <x:c r="K69" s="195"/>
      <x:c r="L69" s="195"/>
      <x:c r="M69" s="195"/>
      <x:c r="N69" s="195"/>
      <x:c r="O69" s="195"/>
      <x:c r="P69" s="195"/>
      <x:c r="Q69" s="195"/>
      <x:c r="R69" s="195"/>
      <x:c r="S69" s="195"/>
      <x:c r="T69" s="195"/>
      <x:c r="U69" s="195"/>
      <x:c r="V69" s="195"/>
      <x:c r="W69" s="195"/>
      <x:c r="X69" s="195"/>
      <x:c r="Y69" s="195"/>
      <x:c r="Z69" s="195"/>
    </x:row>
    <x:row r="70">
      <x:c r="A70" s="195"/>
      <x:c r="B70" s="195"/>
      <x:c r="C70" s="195"/>
      <x:c r="D70" s="195"/>
      <x:c r="E70" s="195"/>
      <x:c r="F70" s="195"/>
      <x:c r="G70" s="195"/>
      <x:c r="H70" s="195"/>
      <x:c r="I70" s="195"/>
      <x:c r="J70" s="195"/>
      <x:c r="K70" s="195"/>
      <x:c r="L70" s="195"/>
      <x:c r="M70" s="195"/>
      <x:c r="N70" s="195"/>
      <x:c r="O70" s="195"/>
      <x:c r="P70" s="195"/>
      <x:c r="Q70" s="195"/>
      <x:c r="R70" s="195"/>
      <x:c r="S70" s="195"/>
      <x:c r="T70" s="195"/>
      <x:c r="U70" s="195"/>
      <x:c r="V70" s="195"/>
      <x:c r="W70" s="195"/>
      <x:c r="X70" s="195"/>
      <x:c r="Y70" s="195"/>
      <x:c r="Z70" s="195"/>
    </x:row>
    <x:row r="71">
      <x:c r="A71" s="195"/>
      <x:c r="B71" s="195"/>
      <x:c r="C71" s="195"/>
      <x:c r="D71" s="195"/>
      <x:c r="E71" s="195"/>
      <x:c r="F71" s="195"/>
      <x:c r="G71" s="195"/>
      <x:c r="H71" s="195"/>
      <x:c r="I71" s="195"/>
      <x:c r="J71" s="195"/>
      <x:c r="K71" s="195"/>
      <x:c r="L71" s="195"/>
      <x:c r="M71" s="195"/>
      <x:c r="N71" s="195"/>
      <x:c r="O71" s="195"/>
      <x:c r="P71" s="195"/>
      <x:c r="Q71" s="195"/>
      <x:c r="R71" s="195"/>
      <x:c r="S71" s="195"/>
      <x:c r="T71" s="195"/>
      <x:c r="U71" s="195"/>
      <x:c r="V71" s="195"/>
      <x:c r="W71" s="195"/>
      <x:c r="X71" s="195"/>
      <x:c r="Y71" s="195"/>
      <x:c r="Z71" s="195"/>
    </x:row>
    <x:row r="72">
      <x:c r="A72" s="195"/>
      <x:c r="B72" s="195"/>
      <x:c r="C72" s="195"/>
      <x:c r="D72" s="195"/>
      <x:c r="E72" s="195"/>
      <x:c r="F72" s="195"/>
      <x:c r="G72" s="195"/>
      <x:c r="H72" s="195"/>
      <x:c r="I72" s="195"/>
      <x:c r="J72" s="195"/>
      <x:c r="K72" s="195"/>
      <x:c r="L72" s="195"/>
      <x:c r="M72" s="195"/>
      <x:c r="N72" s="195"/>
      <x:c r="O72" s="195"/>
      <x:c r="P72" s="195"/>
      <x:c r="Q72" s="195"/>
      <x:c r="R72" s="195"/>
      <x:c r="S72" s="195"/>
      <x:c r="T72" s="195"/>
      <x:c r="U72" s="195"/>
      <x:c r="V72" s="195"/>
      <x:c r="W72" s="195"/>
      <x:c r="X72" s="195"/>
      <x:c r="Y72" s="195"/>
      <x:c r="Z72" s="195"/>
    </x:row>
    <x:row r="73">
      <x:c r="A73" s="195"/>
      <x:c r="B73" s="195"/>
      <x:c r="C73" s="195"/>
      <x:c r="D73" s="195"/>
      <x:c r="E73" s="195"/>
      <x:c r="F73" s="195"/>
      <x:c r="G73" s="195"/>
      <x:c r="H73" s="195"/>
      <x:c r="I73" s="195"/>
      <x:c r="J73" s="195"/>
      <x:c r="K73" s="195"/>
      <x:c r="L73" s="195"/>
      <x:c r="M73" s="195"/>
      <x:c r="N73" s="195"/>
      <x:c r="O73" s="195"/>
      <x:c r="P73" s="195"/>
      <x:c r="Q73" s="195"/>
      <x:c r="R73" s="195"/>
      <x:c r="S73" s="195"/>
      <x:c r="T73" s="195"/>
      <x:c r="U73" s="195"/>
      <x:c r="V73" s="195"/>
      <x:c r="W73" s="195"/>
      <x:c r="X73" s="195"/>
      <x:c r="Y73" s="195"/>
      <x:c r="Z73" s="195"/>
    </x:row>
    <x:row r="74">
      <x:c r="A74" s="195"/>
      <x:c r="B74" s="195"/>
      <x:c r="C74" s="195"/>
      <x:c r="D74" s="195"/>
      <x:c r="E74" s="195"/>
      <x:c r="F74" s="195"/>
      <x:c r="G74" s="195"/>
      <x:c r="H74" s="195"/>
      <x:c r="I74" s="195"/>
      <x:c r="J74" s="195"/>
      <x:c r="K74" s="195"/>
      <x:c r="L74" s="195"/>
      <x:c r="M74" s="195"/>
      <x:c r="N74" s="195"/>
      <x:c r="O74" s="195"/>
      <x:c r="P74" s="195"/>
      <x:c r="Q74" s="195"/>
      <x:c r="R74" s="195"/>
      <x:c r="S74" s="195"/>
      <x:c r="T74" s="195"/>
      <x:c r="U74" s="195"/>
      <x:c r="V74" s="195"/>
      <x:c r="W74" s="195"/>
      <x:c r="X74" s="195"/>
      <x:c r="Y74" s="195"/>
      <x:c r="Z74" s="195"/>
    </x:row>
    <x:row r="75">
      <x:c r="A75" s="195"/>
      <x:c r="B75" s="195"/>
      <x:c r="C75" s="195"/>
      <x:c r="D75" s="195"/>
      <x:c r="E75" s="195"/>
      <x:c r="F75" s="195"/>
      <x:c r="G75" s="195"/>
      <x:c r="H75" s="195"/>
      <x:c r="I75" s="195"/>
      <x:c r="J75" s="195"/>
      <x:c r="K75" s="195"/>
      <x:c r="L75" s="195"/>
      <x:c r="M75" s="195"/>
      <x:c r="N75" s="195"/>
      <x:c r="O75" s="195"/>
      <x:c r="P75" s="195"/>
      <x:c r="Q75" s="195"/>
      <x:c r="R75" s="195"/>
      <x:c r="S75" s="195"/>
      <x:c r="T75" s="195"/>
      <x:c r="U75" s="195"/>
      <x:c r="V75" s="195"/>
      <x:c r="W75" s="195"/>
      <x:c r="X75" s="195"/>
      <x:c r="Y75" s="195"/>
      <x:c r="Z75" s="195"/>
    </x:row>
    <x:row r="76">
      <x:c r="A76" s="195"/>
      <x:c r="B76" s="195"/>
      <x:c r="C76" s="195"/>
      <x:c r="D76" s="195"/>
      <x:c r="E76" s="195"/>
      <x:c r="F76" s="195"/>
      <x:c r="G76" s="195"/>
      <x:c r="H76" s="195"/>
      <x:c r="I76" s="195"/>
      <x:c r="J76" s="195"/>
      <x:c r="K76" s="195"/>
      <x:c r="L76" s="195"/>
      <x:c r="M76" s="195"/>
      <x:c r="N76" s="195"/>
      <x:c r="O76" s="195"/>
      <x:c r="P76" s="195"/>
      <x:c r="Q76" s="195"/>
      <x:c r="R76" s="195"/>
      <x:c r="S76" s="195"/>
      <x:c r="T76" s="195"/>
      <x:c r="U76" s="195"/>
      <x:c r="V76" s="195"/>
      <x:c r="W76" s="195"/>
      <x:c r="X76" s="195"/>
      <x:c r="Y76" s="195"/>
      <x:c r="Z76" s="195"/>
    </x:row>
    <x:row r="77">
      <x:c r="A77" s="195"/>
      <x:c r="B77" s="195"/>
      <x:c r="C77" s="195"/>
      <x:c r="D77" s="195"/>
      <x:c r="E77" s="195"/>
      <x:c r="F77" s="195"/>
      <x:c r="G77" s="195"/>
      <x:c r="H77" s="195"/>
      <x:c r="I77" s="195"/>
      <x:c r="J77" s="195"/>
      <x:c r="K77" s="195"/>
      <x:c r="L77" s="195"/>
      <x:c r="M77" s="195"/>
      <x:c r="N77" s="195"/>
      <x:c r="O77" s="195"/>
      <x:c r="P77" s="195"/>
      <x:c r="Q77" s="195"/>
      <x:c r="R77" s="195"/>
      <x:c r="S77" s="195"/>
      <x:c r="T77" s="195"/>
      <x:c r="U77" s="195"/>
      <x:c r="V77" s="195"/>
      <x:c r="W77" s="195"/>
      <x:c r="X77" s="195"/>
      <x:c r="Y77" s="195"/>
      <x:c r="Z77" s="195"/>
    </x:row>
    <x:row r="78">
      <x:c r="A78" s="195"/>
      <x:c r="B78" s="195"/>
      <x:c r="C78" s="195"/>
      <x:c r="D78" s="195"/>
      <x:c r="E78" s="195"/>
      <x:c r="F78" s="195"/>
      <x:c r="G78" s="195"/>
      <x:c r="H78" s="195"/>
      <x:c r="I78" s="195"/>
      <x:c r="J78" s="195"/>
      <x:c r="K78" s="195"/>
      <x:c r="L78" s="195"/>
      <x:c r="M78" s="195"/>
      <x:c r="N78" s="195"/>
      <x:c r="O78" s="195"/>
      <x:c r="P78" s="195"/>
      <x:c r="Q78" s="195"/>
      <x:c r="R78" s="195"/>
      <x:c r="S78" s="195"/>
      <x:c r="T78" s="195"/>
      <x:c r="U78" s="195"/>
      <x:c r="V78" s="195"/>
      <x:c r="W78" s="195"/>
      <x:c r="X78" s="195"/>
      <x:c r="Y78" s="195"/>
      <x:c r="Z78" s="195"/>
    </x:row>
    <x:row r="79">
      <x:c r="A79" s="195"/>
      <x:c r="B79" s="195"/>
      <x:c r="C79" s="195"/>
      <x:c r="D79" s="195"/>
      <x:c r="E79" s="195"/>
      <x:c r="F79" s="195"/>
      <x:c r="G79" s="195"/>
      <x:c r="H79" s="195"/>
      <x:c r="I79" s="195"/>
      <x:c r="J79" s="195"/>
      <x:c r="K79" s="195"/>
      <x:c r="L79" s="195"/>
      <x:c r="M79" s="195"/>
      <x:c r="N79" s="195"/>
      <x:c r="O79" s="195"/>
      <x:c r="P79" s="195"/>
      <x:c r="Q79" s="195"/>
      <x:c r="R79" s="195"/>
      <x:c r="S79" s="195"/>
      <x:c r="T79" s="195"/>
      <x:c r="U79" s="195"/>
      <x:c r="V79" s="195"/>
      <x:c r="W79" s="195"/>
      <x:c r="X79" s="195"/>
      <x:c r="Y79" s="195"/>
      <x:c r="Z79" s="195"/>
    </x:row>
    <x:row r="80">
      <x:c r="A80" s="195"/>
      <x:c r="B80" s="195"/>
      <x:c r="C80" s="195"/>
      <x:c r="D80" s="195"/>
      <x:c r="E80" s="195"/>
      <x:c r="F80" s="195"/>
      <x:c r="G80" s="195"/>
      <x:c r="H80" s="195"/>
      <x:c r="I80" s="195"/>
      <x:c r="J80" s="195"/>
      <x:c r="K80" s="195"/>
      <x:c r="L80" s="195"/>
      <x:c r="M80" s="195"/>
      <x:c r="N80" s="195"/>
      <x:c r="O80" s="195"/>
      <x:c r="P80" s="195"/>
      <x:c r="Q80" s="195"/>
      <x:c r="R80" s="195"/>
      <x:c r="S80" s="195"/>
      <x:c r="T80" s="195"/>
      <x:c r="U80" s="195"/>
      <x:c r="V80" s="195"/>
      <x:c r="W80" s="195"/>
      <x:c r="X80" s="195"/>
      <x:c r="Y80" s="195"/>
      <x:c r="Z80" s="195"/>
    </x:row>
    <x:row r="81">
      <x:c r="A81" s="195"/>
      <x:c r="B81" s="195"/>
      <x:c r="C81" s="195"/>
      <x:c r="D81" s="195"/>
      <x:c r="E81" s="195"/>
      <x:c r="F81" s="195"/>
      <x:c r="G81" s="195"/>
      <x:c r="H81" s="195"/>
      <x:c r="I81" s="195"/>
      <x:c r="J81" s="195"/>
      <x:c r="K81" s="195"/>
      <x:c r="L81" s="195"/>
      <x:c r="M81" s="195"/>
      <x:c r="N81" s="195"/>
      <x:c r="O81" s="195"/>
      <x:c r="P81" s="195"/>
      <x:c r="Q81" s="195"/>
      <x:c r="R81" s="195"/>
      <x:c r="S81" s="195"/>
      <x:c r="T81" s="195"/>
      <x:c r="U81" s="195"/>
      <x:c r="V81" s="195"/>
      <x:c r="W81" s="195"/>
      <x:c r="X81" s="195"/>
      <x:c r="Y81" s="195"/>
      <x:c r="Z81" s="195"/>
    </x:row>
    <x:row r="82">
      <x:c r="A82" s="195"/>
      <x:c r="B82" s="195"/>
      <x:c r="C82" s="195"/>
      <x:c r="D82" s="195"/>
      <x:c r="E82" s="195"/>
      <x:c r="F82" s="195"/>
      <x:c r="G82" s="195"/>
      <x:c r="H82" s="195"/>
      <x:c r="I82" s="195"/>
      <x:c r="J82" s="195"/>
      <x:c r="K82" s="195"/>
      <x:c r="L82" s="195"/>
      <x:c r="M82" s="195"/>
      <x:c r="N82" s="195"/>
      <x:c r="O82" s="195"/>
      <x:c r="P82" s="195"/>
      <x:c r="Q82" s="195"/>
      <x:c r="R82" s="195"/>
      <x:c r="S82" s="195"/>
      <x:c r="T82" s="195"/>
      <x:c r="U82" s="195"/>
      <x:c r="V82" s="195"/>
      <x:c r="W82" s="195"/>
      <x:c r="X82" s="195"/>
      <x:c r="Y82" s="195"/>
      <x:c r="Z82" s="195"/>
    </x:row>
    <x:row r="83">
      <x:c r="A83" s="195"/>
      <x:c r="B83" s="195"/>
      <x:c r="C83" s="195"/>
      <x:c r="D83" s="195"/>
      <x:c r="E83" s="195"/>
      <x:c r="F83" s="195"/>
      <x:c r="G83" s="195"/>
      <x:c r="H83" s="195"/>
      <x:c r="I83" s="195"/>
      <x:c r="J83" s="195"/>
      <x:c r="K83" s="195"/>
      <x:c r="L83" s="195"/>
      <x:c r="M83" s="195"/>
      <x:c r="N83" s="195"/>
      <x:c r="O83" s="195"/>
      <x:c r="P83" s="195"/>
      <x:c r="Q83" s="195"/>
      <x:c r="R83" s="195"/>
      <x:c r="S83" s="195"/>
      <x:c r="T83" s="195"/>
      <x:c r="U83" s="195"/>
      <x:c r="V83" s="195"/>
      <x:c r="W83" s="195"/>
      <x:c r="X83" s="195"/>
      <x:c r="Y83" s="195"/>
      <x:c r="Z83" s="195"/>
    </x:row>
    <x:row r="84">
      <x:c r="A84" s="195"/>
      <x:c r="B84" s="195"/>
      <x:c r="C84" s="195"/>
      <x:c r="D84" s="195"/>
      <x:c r="E84" s="195"/>
      <x:c r="F84" s="195"/>
      <x:c r="G84" s="195"/>
      <x:c r="H84" s="195"/>
      <x:c r="I84" s="195"/>
      <x:c r="J84" s="195"/>
      <x:c r="K84" s="195"/>
      <x:c r="L84" s="195"/>
      <x:c r="M84" s="195"/>
      <x:c r="N84" s="195"/>
      <x:c r="O84" s="195"/>
      <x:c r="P84" s="195"/>
      <x:c r="Q84" s="195"/>
      <x:c r="R84" s="195"/>
      <x:c r="S84" s="195"/>
      <x:c r="T84" s="195"/>
      <x:c r="U84" s="195"/>
      <x:c r="V84" s="195"/>
      <x:c r="W84" s="195"/>
      <x:c r="X84" s="195"/>
      <x:c r="Y84" s="195"/>
      <x:c r="Z84" s="195"/>
    </x:row>
    <x:row r="85">
      <x:c r="A85" s="195"/>
      <x:c r="B85" s="195"/>
      <x:c r="C85" s="195"/>
      <x:c r="D85" s="195"/>
      <x:c r="E85" s="195"/>
      <x:c r="F85" s="195"/>
      <x:c r="G85" s="195"/>
      <x:c r="H85" s="195"/>
      <x:c r="I85" s="195"/>
      <x:c r="J85" s="195"/>
      <x:c r="K85" s="195"/>
      <x:c r="L85" s="195"/>
      <x:c r="M85" s="195"/>
      <x:c r="N85" s="195"/>
      <x:c r="O85" s="195"/>
      <x:c r="P85" s="195"/>
      <x:c r="Q85" s="195"/>
      <x:c r="R85" s="195"/>
      <x:c r="S85" s="195"/>
      <x:c r="T85" s="195"/>
      <x:c r="U85" s="195"/>
      <x:c r="V85" s="195"/>
      <x:c r="W85" s="195"/>
      <x:c r="X85" s="195"/>
      <x:c r="Y85" s="195"/>
      <x:c r="Z85" s="195"/>
    </x:row>
    <x:row r="86">
      <x:c r="A86" s="195"/>
      <x:c r="B86" s="195"/>
      <x:c r="C86" s="195"/>
      <x:c r="D86" s="195"/>
      <x:c r="E86" s="195"/>
      <x:c r="F86" s="195"/>
      <x:c r="G86" s="195"/>
      <x:c r="H86" s="195"/>
      <x:c r="I86" s="195"/>
      <x:c r="J86" s="195"/>
      <x:c r="K86" s="195"/>
      <x:c r="L86" s="195"/>
      <x:c r="M86" s="195"/>
      <x:c r="N86" s="195"/>
      <x:c r="O86" s="195"/>
      <x:c r="P86" s="195"/>
      <x:c r="Q86" s="195"/>
      <x:c r="R86" s="195"/>
      <x:c r="S86" s="195"/>
      <x:c r="T86" s="195"/>
      <x:c r="U86" s="195"/>
      <x:c r="V86" s="195"/>
      <x:c r="W86" s="195"/>
      <x:c r="X86" s="195"/>
      <x:c r="Y86" s="195"/>
      <x:c r="Z86" s="195"/>
    </x:row>
    <x:row r="87">
      <x:c r="A87" s="195"/>
      <x:c r="B87" s="195"/>
      <x:c r="C87" s="195"/>
      <x:c r="D87" s="195"/>
      <x:c r="E87" s="195"/>
      <x:c r="F87" s="195"/>
      <x:c r="G87" s="195"/>
      <x:c r="H87" s="195"/>
      <x:c r="I87" s="195"/>
      <x:c r="J87" s="195"/>
      <x:c r="K87" s="195"/>
      <x:c r="L87" s="195"/>
      <x:c r="M87" s="195"/>
      <x:c r="N87" s="195"/>
      <x:c r="O87" s="195"/>
      <x:c r="P87" s="195"/>
      <x:c r="Q87" s="195"/>
      <x:c r="R87" s="195"/>
      <x:c r="S87" s="195"/>
      <x:c r="T87" s="195"/>
      <x:c r="U87" s="195"/>
      <x:c r="V87" s="195"/>
      <x:c r="W87" s="195"/>
      <x:c r="X87" s="195"/>
      <x:c r="Y87" s="195"/>
      <x:c r="Z87" s="195"/>
    </x:row>
    <x:row r="88">
      <x:c r="A88" s="195"/>
      <x:c r="B88" s="195"/>
      <x:c r="C88" s="195"/>
      <x:c r="D88" s="195"/>
      <x:c r="E88" s="195"/>
      <x:c r="F88" s="195"/>
      <x:c r="G88" s="195"/>
      <x:c r="H88" s="195"/>
      <x:c r="I88" s="195"/>
      <x:c r="J88" s="195"/>
      <x:c r="K88" s="195"/>
      <x:c r="L88" s="195"/>
      <x:c r="M88" s="195"/>
      <x:c r="N88" s="195"/>
      <x:c r="O88" s="195"/>
      <x:c r="P88" s="195"/>
      <x:c r="Q88" s="195"/>
      <x:c r="R88" s="195"/>
      <x:c r="S88" s="195"/>
      <x:c r="T88" s="195"/>
      <x:c r="U88" s="195"/>
      <x:c r="V88" s="195"/>
      <x:c r="W88" s="195"/>
      <x:c r="X88" s="195"/>
      <x:c r="Y88" s="195"/>
      <x:c r="Z88" s="195"/>
    </x:row>
    <x:row r="89">
      <x:c r="A89" s="195"/>
      <x:c r="B89" s="195"/>
      <x:c r="C89" s="195"/>
      <x:c r="D89" s="195"/>
      <x:c r="E89" s="195"/>
      <x:c r="F89" s="195"/>
      <x:c r="G89" s="195"/>
      <x:c r="H89" s="195"/>
      <x:c r="I89" s="195"/>
      <x:c r="J89" s="195"/>
      <x:c r="K89" s="195"/>
      <x:c r="L89" s="195"/>
      <x:c r="M89" s="195"/>
      <x:c r="N89" s="195"/>
      <x:c r="O89" s="195"/>
      <x:c r="P89" s="195"/>
      <x:c r="Q89" s="195"/>
      <x:c r="R89" s="195"/>
      <x:c r="S89" s="195"/>
      <x:c r="T89" s="195"/>
      <x:c r="U89" s="195"/>
      <x:c r="V89" s="195"/>
      <x:c r="W89" s="195"/>
      <x:c r="X89" s="195"/>
      <x:c r="Y89" s="195"/>
      <x:c r="Z89" s="195"/>
    </x:row>
    <x:row r="90">
      <x:c r="A90" s="195"/>
      <x:c r="B90" s="195"/>
      <x:c r="C90" s="195"/>
      <x:c r="D90" s="195"/>
      <x:c r="E90" s="195"/>
      <x:c r="F90" s="195"/>
      <x:c r="G90" s="195"/>
      <x:c r="H90" s="195"/>
      <x:c r="I90" s="195"/>
      <x:c r="J90" s="195"/>
      <x:c r="K90" s="195"/>
      <x:c r="L90" s="195"/>
      <x:c r="M90" s="195"/>
      <x:c r="N90" s="195"/>
      <x:c r="O90" s="195"/>
      <x:c r="P90" s="195"/>
      <x:c r="Q90" s="195"/>
      <x:c r="R90" s="195"/>
      <x:c r="S90" s="195"/>
      <x:c r="T90" s="195"/>
      <x:c r="U90" s="195"/>
      <x:c r="V90" s="195"/>
      <x:c r="W90" s="195"/>
      <x:c r="X90" s="195"/>
      <x:c r="Y90" s="195"/>
      <x:c r="Z90" s="195"/>
    </x:row>
    <x:row r="91">
      <x:c r="A91" s="195"/>
      <x:c r="B91" s="195"/>
      <x:c r="C91" s="195"/>
      <x:c r="D91" s="195"/>
      <x:c r="E91" s="195"/>
      <x:c r="F91" s="195"/>
      <x:c r="G91" s="195"/>
      <x:c r="H91" s="195"/>
      <x:c r="I91" s="195"/>
      <x:c r="J91" s="195"/>
      <x:c r="K91" s="195"/>
      <x:c r="L91" s="195"/>
      <x:c r="M91" s="195"/>
      <x:c r="N91" s="195"/>
      <x:c r="O91" s="195"/>
      <x:c r="P91" s="195"/>
      <x:c r="Q91" s="195"/>
      <x:c r="R91" s="195"/>
      <x:c r="S91" s="195"/>
      <x:c r="T91" s="195"/>
      <x:c r="U91" s="195"/>
      <x:c r="V91" s="195"/>
      <x:c r="W91" s="195"/>
      <x:c r="X91" s="195"/>
      <x:c r="Y91" s="195"/>
      <x:c r="Z91" s="195"/>
    </x:row>
    <x:row r="92">
      <x:c r="A92" s="195"/>
      <x:c r="B92" s="195"/>
      <x:c r="C92" s="195"/>
      <x:c r="D92" s="195"/>
      <x:c r="E92" s="195"/>
      <x:c r="F92" s="195"/>
      <x:c r="G92" s="195"/>
      <x:c r="H92" s="195"/>
      <x:c r="I92" s="195"/>
      <x:c r="J92" s="195"/>
      <x:c r="K92" s="195"/>
      <x:c r="L92" s="195"/>
      <x:c r="M92" s="195"/>
      <x:c r="N92" s="195"/>
      <x:c r="O92" s="195"/>
      <x:c r="P92" s="195"/>
      <x:c r="Q92" s="195"/>
      <x:c r="R92" s="195"/>
      <x:c r="S92" s="195"/>
      <x:c r="T92" s="195"/>
      <x:c r="U92" s="195"/>
      <x:c r="V92" s="195"/>
      <x:c r="W92" s="195"/>
      <x:c r="X92" s="195"/>
      <x:c r="Y92" s="195"/>
      <x:c r="Z92" s="195"/>
    </x:row>
    <x:row r="93">
      <x:c r="A93" s="195"/>
      <x:c r="B93" s="195"/>
      <x:c r="C93" s="195"/>
      <x:c r="D93" s="195"/>
      <x:c r="E93" s="195"/>
      <x:c r="F93" s="195"/>
      <x:c r="G93" s="195"/>
      <x:c r="H93" s="195"/>
      <x:c r="I93" s="195"/>
      <x:c r="J93" s="195"/>
      <x:c r="K93" s="195"/>
      <x:c r="L93" s="195"/>
      <x:c r="M93" s="195"/>
      <x:c r="N93" s="195"/>
      <x:c r="O93" s="195"/>
      <x:c r="P93" s="195"/>
      <x:c r="Q93" s="195"/>
      <x:c r="R93" s="195"/>
      <x:c r="S93" s="195"/>
      <x:c r="T93" s="195"/>
      <x:c r="U93" s="195"/>
      <x:c r="V93" s="195"/>
      <x:c r="W93" s="195"/>
      <x:c r="X93" s="195"/>
      <x:c r="Y93" s="195"/>
      <x:c r="Z93" s="195"/>
    </x:row>
    <x:row r="94">
      <x:c r="A94" s="195"/>
      <x:c r="B94" s="195"/>
      <x:c r="C94" s="195"/>
      <x:c r="D94" s="195"/>
      <x:c r="E94" s="195"/>
      <x:c r="F94" s="195"/>
      <x:c r="G94" s="195"/>
      <x:c r="H94" s="195"/>
      <x:c r="I94" s="195"/>
      <x:c r="J94" s="195"/>
      <x:c r="K94" s="195"/>
      <x:c r="L94" s="195"/>
      <x:c r="M94" s="195"/>
      <x:c r="N94" s="195"/>
      <x:c r="O94" s="195"/>
      <x:c r="P94" s="195"/>
      <x:c r="Q94" s="195"/>
      <x:c r="R94" s="195"/>
      <x:c r="S94" s="195"/>
      <x:c r="T94" s="195"/>
      <x:c r="U94" s="195"/>
      <x:c r="V94" s="195"/>
      <x:c r="W94" s="195"/>
      <x:c r="X94" s="195"/>
      <x:c r="Y94" s="195"/>
      <x:c r="Z94" s="195"/>
    </x:row>
    <x:row r="95">
      <x:c r="A95" s="195"/>
      <x:c r="B95" s="195"/>
      <x:c r="C95" s="195"/>
      <x:c r="D95" s="195"/>
      <x:c r="E95" s="195"/>
      <x:c r="F95" s="195"/>
      <x:c r="G95" s="195"/>
      <x:c r="H95" s="195"/>
      <x:c r="I95" s="195"/>
      <x:c r="J95" s="195"/>
      <x:c r="K95" s="195"/>
      <x:c r="L95" s="195"/>
      <x:c r="M95" s="195"/>
      <x:c r="N95" s="195"/>
      <x:c r="O95" s="195"/>
      <x:c r="P95" s="195"/>
      <x:c r="Q95" s="195"/>
      <x:c r="R95" s="195"/>
      <x:c r="S95" s="195"/>
      <x:c r="T95" s="195"/>
      <x:c r="U95" s="195"/>
      <x:c r="V95" s="195"/>
      <x:c r="W95" s="195"/>
      <x:c r="X95" s="195"/>
      <x:c r="Y95" s="195"/>
      <x:c r="Z95" s="195"/>
    </x:row>
    <x:row r="96">
      <x:c r="A96" s="195"/>
      <x:c r="B96" s="195"/>
      <x:c r="C96" s="195"/>
      <x:c r="D96" s="195"/>
      <x:c r="E96" s="195"/>
      <x:c r="F96" s="195"/>
      <x:c r="G96" s="195"/>
      <x:c r="H96" s="195"/>
      <x:c r="I96" s="195"/>
      <x:c r="J96" s="195"/>
      <x:c r="K96" s="195"/>
      <x:c r="L96" s="195"/>
      <x:c r="M96" s="195"/>
      <x:c r="N96" s="195"/>
      <x:c r="O96" s="195"/>
      <x:c r="P96" s="195"/>
      <x:c r="Q96" s="195"/>
      <x:c r="R96" s="195"/>
      <x:c r="S96" s="195"/>
      <x:c r="T96" s="195"/>
      <x:c r="U96" s="195"/>
      <x:c r="V96" s="195"/>
      <x:c r="W96" s="195"/>
      <x:c r="X96" s="195"/>
      <x:c r="Y96" s="195"/>
      <x:c r="Z96" s="195"/>
    </x:row>
    <x:row r="97">
      <x:c r="A97" s="195"/>
      <x:c r="B97" s="195"/>
      <x:c r="C97" s="195"/>
      <x:c r="D97" s="195"/>
      <x:c r="E97" s="195"/>
      <x:c r="F97" s="195"/>
      <x:c r="G97" s="195"/>
      <x:c r="H97" s="195"/>
      <x:c r="I97" s="195"/>
      <x:c r="J97" s="195"/>
      <x:c r="K97" s="195"/>
      <x:c r="L97" s="195"/>
      <x:c r="M97" s="195"/>
      <x:c r="N97" s="195"/>
      <x:c r="O97" s="195"/>
      <x:c r="P97" s="195"/>
      <x:c r="Q97" s="195"/>
      <x:c r="R97" s="195"/>
      <x:c r="S97" s="195"/>
      <x:c r="T97" s="195"/>
      <x:c r="U97" s="195"/>
      <x:c r="V97" s="195"/>
      <x:c r="W97" s="195"/>
      <x:c r="X97" s="195"/>
      <x:c r="Y97" s="195"/>
      <x:c r="Z97" s="195"/>
    </x:row>
    <x:row r="98">
      <x:c r="A98" s="195"/>
      <x:c r="B98" s="195"/>
      <x:c r="C98" s="195"/>
      <x:c r="D98" s="195"/>
      <x:c r="E98" s="195"/>
      <x:c r="F98" s="195"/>
      <x:c r="G98" s="195"/>
      <x:c r="H98" s="195"/>
      <x:c r="I98" s="195"/>
      <x:c r="J98" s="195"/>
      <x:c r="K98" s="195"/>
      <x:c r="L98" s="195"/>
      <x:c r="M98" s="195"/>
      <x:c r="N98" s="195"/>
      <x:c r="O98" s="195"/>
      <x:c r="P98" s="195"/>
      <x:c r="Q98" s="195"/>
      <x:c r="R98" s="195"/>
      <x:c r="S98" s="195"/>
      <x:c r="T98" s="195"/>
      <x:c r="U98" s="195"/>
      <x:c r="V98" s="195"/>
      <x:c r="W98" s="195"/>
      <x:c r="X98" s="195"/>
      <x:c r="Y98" s="195"/>
      <x:c r="Z98" s="195"/>
    </x:row>
    <x:row r="99">
      <x:c r="A99" s="195"/>
      <x:c r="B99" s="195"/>
      <x:c r="C99" s="195"/>
      <x:c r="D99" s="195"/>
      <x:c r="E99" s="195"/>
      <x:c r="F99" s="195"/>
      <x:c r="G99" s="195"/>
      <x:c r="H99" s="195"/>
      <x:c r="I99" s="195"/>
      <x:c r="J99" s="195"/>
      <x:c r="K99" s="195"/>
      <x:c r="L99" s="195"/>
      <x:c r="M99" s="195"/>
      <x:c r="N99" s="195"/>
      <x:c r="O99" s="195"/>
      <x:c r="P99" s="195"/>
      <x:c r="Q99" s="195"/>
      <x:c r="R99" s="195"/>
      <x:c r="S99" s="195"/>
      <x:c r="T99" s="195"/>
      <x:c r="U99" s="195"/>
      <x:c r="V99" s="195"/>
      <x:c r="W99" s="195"/>
      <x:c r="X99" s="195"/>
      <x:c r="Y99" s="195"/>
      <x:c r="Z99" s="195"/>
    </x:row>
    <x:row r="100">
      <x:c r="A100" s="195"/>
      <x:c r="B100" s="195"/>
      <x:c r="C100" s="195"/>
      <x:c r="D100" s="195"/>
      <x:c r="E100" s="195"/>
      <x:c r="F100" s="195"/>
      <x:c r="G100" s="195"/>
      <x:c r="H100" s="195"/>
      <x:c r="I100" s="195"/>
      <x:c r="J100" s="195"/>
      <x:c r="K100" s="195"/>
      <x:c r="L100" s="195"/>
      <x:c r="M100" s="195"/>
      <x:c r="N100" s="195"/>
      <x:c r="O100" s="195"/>
      <x:c r="P100" s="195"/>
      <x:c r="Q100" s="195"/>
      <x:c r="R100" s="195"/>
      <x:c r="S100" s="195"/>
      <x:c r="T100" s="195"/>
      <x:c r="U100" s="195"/>
      <x:c r="V100" s="195"/>
      <x:c r="W100" s="195"/>
      <x:c r="X100" s="195"/>
      <x:c r="Y100" s="195"/>
      <x:c r="Z100" s="195"/>
    </x:row>
  </x:sheetData>
  <x:mergeCells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F6690"/>
  </x:sheetPr>
  <x:sheetViews>
    <x:sheetView showGridLines="0" workbookViewId="0"/>
  </x:sheetViews>
  <x:sheetFormatPr defaultRowHeight="15"/>
  <x:cols>
    <x:col min="1" max="1" width="25" hidden="0" customWidth="1"/>
    <x:col min="2" max="2" width="28" hidden="0" customWidth="1"/>
    <x:col min="3" max="3" width="16" hidden="0" customWidth="1"/>
    <x:col min="4" max="4" width="16" hidden="0" customWidth="1"/>
    <x:col min="5" max="5" width="3" hidden="0" customWidth="1"/>
    <x:col min="6" max="6" width="24" hidden="0" customWidth="1"/>
    <x:col min="7" max="7" width="32" hidden="0" customWidth="1"/>
    <x:col min="8" max="8" width="8" hidden="0" customWidth="1"/>
  </x:cols>
  <x:sheetData>
    <x:row r="1">
      <x:c r="A1" s="195"/>
      <x:c r="B1" s="195"/>
      <x:c r="C1" s="195"/>
      <x:c r="D1" s="195"/>
      <x:c r="E1" s="195"/>
      <x:c r="F1" s="195"/>
      <x:c r="G1" s="195"/>
      <x:c r="H1" s="195"/>
      <x:c r="I1" s="195"/>
      <x:c r="J1" s="195"/>
      <x:c r="K1" s="195"/>
      <x:c r="L1" s="195"/>
      <x:c r="M1" s="195"/>
      <x:c r="N1" s="195"/>
      <x:c r="O1" s="195"/>
      <x:c r="P1" s="195"/>
      <x:c r="Q1" s="195"/>
      <x:c r="R1" s="195"/>
      <x:c r="S1" s="195"/>
      <x:c r="T1" s="195"/>
      <x:c r="U1" s="195"/>
      <x:c r="V1" s="195"/>
      <x:c r="W1" s="195"/>
      <x:c r="X1" s="195"/>
      <x:c r="Y1" s="195"/>
      <x:c r="Z1" s="195"/>
    </x:row>
    <x:row r="2" ht="30" customHeight="1">
      <x:c r="A2" s="116" t="str">
        <x:v>Normen en scenario</x:v>
      </x:c>
      <x:c r="B2" s="116" t="str">
        <x:v>Normen en scenario</x:v>
      </x:c>
      <x:c r="C2" s="116" t="str">
        <x:v>Normen en scenario</x:v>
      </x:c>
      <x:c r="D2" s="116" t="str">
        <x:v>Normen en scenario</x:v>
      </x:c>
      <x:c r="E2" s="116" t="str">
        <x:v>Normen en scenario</x:v>
      </x:c>
      <x:c r="F2" s="116" t="str">
        <x:v>Normen en scenario</x:v>
      </x:c>
      <x:c r="G2" s="116" t="str">
        <x:v>Normen en scenario</x:v>
      </x:c>
      <x:c r="H2" s="116" t="str">
        <x:v>Normen en scenario</x:v>
      </x:c>
      <x:c r="I2" s="195"/>
      <x:c r="J2" s="195"/>
      <x:c r="K2" s="195"/>
      <x:c r="L2" s="195"/>
      <x:c r="M2" s="195"/>
      <x:c r="N2" s="195"/>
      <x:c r="O2" s="195"/>
      <x:c r="P2" s="195"/>
      <x:c r="Q2" s="195"/>
      <x:c r="R2" s="195"/>
      <x:c r="S2" s="195"/>
      <x:c r="T2" s="195"/>
      <x:c r="U2" s="195"/>
      <x:c r="V2" s="195"/>
      <x:c r="W2" s="195"/>
      <x:c r="X2" s="195"/>
      <x:c r="Y2" s="195"/>
      <x:c r="Z2" s="195"/>
    </x:row>
    <x:row r="3">
      <x:c r="A3" s="196"/>
      <x:c r="B3" s="196"/>
      <x:c r="C3" s="196"/>
      <x:c r="D3" s="196"/>
      <x:c r="E3" s="196"/>
      <x:c r="F3" s="196"/>
      <x:c r="G3" s="196"/>
      <x:c r="H3" s="196"/>
      <x:c r="I3" s="195"/>
      <x:c r="J3" s="195"/>
      <x:c r="K3" s="195"/>
      <x:c r="L3" s="195"/>
      <x:c r="M3" s="195"/>
      <x:c r="N3" s="195"/>
      <x:c r="O3" s="195"/>
      <x:c r="P3" s="195"/>
      <x:c r="Q3" s="195"/>
      <x:c r="R3" s="195"/>
      <x:c r="S3" s="195"/>
      <x:c r="T3" s="195"/>
      <x:c r="U3" s="195"/>
      <x:c r="V3" s="195"/>
      <x:c r="W3" s="195"/>
      <x:c r="X3" s="195"/>
      <x:c r="Y3" s="195"/>
      <x:c r="Z3" s="195"/>
    </x:row>
    <x:row r="4">
      <x:c r="A4" s="197" t="str">
        <x:v>ILLUSTRATIEVE VOORBEELDGEGEVENS – vervang de gele cellen voordat u conclusies trekt.</x:v>
      </x:c>
      <x:c r="B4" s="197" t="str"/>
      <x:c r="C4" s="197" t="str"/>
      <x:c r="D4" s="197" t="str"/>
      <x:c r="E4" s="197" t="str"/>
      <x:c r="F4" s="197" t="str"/>
      <x:c r="G4" s="197" t="str"/>
      <x:c r="H4" s="197" t="str"/>
      <x:c r="I4" s="195"/>
      <x:c r="J4" s="195"/>
      <x:c r="K4" s="195"/>
      <x:c r="L4" s="195"/>
      <x:c r="M4" s="195"/>
      <x:c r="N4" s="195"/>
      <x:c r="O4" s="195"/>
      <x:c r="P4" s="195"/>
      <x:c r="Q4" s="195"/>
      <x:c r="R4" s="195"/>
      <x:c r="S4" s="195"/>
      <x:c r="T4" s="195"/>
      <x:c r="U4" s="195"/>
      <x:c r="V4" s="195"/>
      <x:c r="W4" s="195"/>
      <x:c r="X4" s="195"/>
      <x:c r="Y4" s="195"/>
      <x:c r="Z4" s="195"/>
    </x:row>
    <x:row r="5">
      <x:c r="A5" s="196"/>
      <x:c r="B5" s="196"/>
      <x:c r="C5" s="196"/>
      <x:c r="D5" s="196"/>
      <x:c r="E5" s="196"/>
      <x:c r="F5" s="196"/>
      <x:c r="G5" s="196"/>
      <x:c r="H5" s="196"/>
      <x:c r="I5" s="195"/>
      <x:c r="J5" s="195"/>
      <x:c r="K5" s="195"/>
      <x:c r="L5" s="195"/>
      <x:c r="M5" s="195"/>
      <x:c r="N5" s="195"/>
      <x:c r="O5" s="195"/>
      <x:c r="P5" s="195"/>
      <x:c r="Q5" s="195"/>
      <x:c r="R5" s="195"/>
      <x:c r="S5" s="195"/>
      <x:c r="T5" s="195"/>
      <x:c r="U5" s="195"/>
      <x:c r="V5" s="195"/>
      <x:c r="W5" s="195"/>
      <x:c r="X5" s="195"/>
      <x:c r="Y5" s="195"/>
      <x:c r="Z5" s="195"/>
    </x:row>
    <x:row r="6" ht="23" customHeight="1">
      <x:c r="A6" s="118" t="str">
        <x:v>Afbakening</x:v>
      </x:c>
      <x:c r="B6" s="118"/>
      <x:c r="C6" s="118"/>
      <x:c r="D6" s="118"/>
      <x:c r="E6" s="196"/>
      <x:c r="F6" s="118" t="str">
        <x:v>Actief scenario</x:v>
      </x:c>
      <x:c r="G6" s="118"/>
      <x:c r="H6" s="118"/>
      <x:c r="I6" s="195"/>
      <x:c r="J6" s="195"/>
      <x:c r="K6" s="195"/>
      <x:c r="L6" s="195"/>
      <x:c r="M6" s="195"/>
      <x:c r="N6" s="195"/>
      <x:c r="O6" s="195"/>
      <x:c r="P6" s="195"/>
      <x:c r="Q6" s="195"/>
      <x:c r="R6" s="195"/>
      <x:c r="S6" s="195"/>
      <x:c r="T6" s="195"/>
      <x:c r="U6" s="195"/>
      <x:c r="V6" s="195"/>
      <x:c r="W6" s="195"/>
      <x:c r="X6" s="195"/>
      <x:c r="Y6" s="195"/>
      <x:c r="Z6" s="195"/>
    </x:row>
    <x:row r="7">
      <x:c r="A7" s="198" t="str">
        <x:v>Gebied</x:v>
      </x:c>
      <x:c r="B7" s="212" t="str">
        <x:v>Nederland – voorbeeldgebied</x:v>
      </x:c>
      <x:c r="C7" s="196"/>
      <x:c r="D7" s="196"/>
      <x:c r="E7" s="196"/>
      <x:c r="F7" s="198" t="str">
        <x:v>Gekozen scenario-ID</x:v>
      </x:c>
      <x:c r="G7" s="213" t="n">
        <x:v>2</x:v>
      </x:c>
      <x:c r="H7" s="196"/>
      <x:c r="I7" s="195"/>
      <x:c r="J7" s="195"/>
      <x:c r="K7" s="195"/>
      <x:c r="L7" s="195"/>
      <x:c r="M7" s="195"/>
      <x:c r="N7" s="195"/>
      <x:c r="O7" s="195"/>
      <x:c r="P7" s="195"/>
      <x:c r="Q7" s="195"/>
      <x:c r="R7" s="195"/>
      <x:c r="S7" s="195"/>
      <x:c r="T7" s="195"/>
      <x:c r="U7" s="195"/>
      <x:c r="V7" s="195"/>
      <x:c r="W7" s="195"/>
      <x:c r="X7" s="195"/>
      <x:c r="Y7" s="195"/>
      <x:c r="Z7" s="195"/>
    </x:row>
    <x:row r="8">
      <x:c r="A8" s="198" t="str">
        <x:v>Peildatum</x:v>
      </x:c>
      <x:c r="B8" s="214" t="n">
        <x:v>46387</x:v>
      </x:c>
      <x:c r="C8" s="196"/>
      <x:c r="D8" s="196"/>
      <x:c r="E8" s="196"/>
      <x:c r="F8" s="198" t="str">
        <x:v>Scenarionaam</x:v>
      </x:c>
      <x:c r="G8" s="199" t="str">
        <x:f>INDEX($B$15:$B$19,MATCH($G$7,$A$15:$A$19,0))</x:f>
        <x:v>Laag</x:v>
      </x:c>
      <x:c r="H8" s="196"/>
      <x:c r="I8" s="195"/>
      <x:c r="J8" s="195"/>
      <x:c r="K8" s="195"/>
      <x:c r="L8" s="195"/>
      <x:c r="M8" s="195"/>
      <x:c r="N8" s="195"/>
      <x:c r="O8" s="195"/>
      <x:c r="P8" s="195"/>
      <x:c r="Q8" s="195"/>
      <x:c r="R8" s="195"/>
      <x:c r="S8" s="195"/>
      <x:c r="T8" s="195"/>
      <x:c r="U8" s="195"/>
      <x:c r="V8" s="195"/>
      <x:c r="W8" s="195"/>
      <x:c r="X8" s="195"/>
      <x:c r="Y8" s="195"/>
      <x:c r="Z8" s="195"/>
    </x:row>
    <x:row r="9">
      <x:c r="A9" s="198" t="str">
        <x:v>Prijspeil</x:v>
      </x:c>
      <x:c r="B9" s="215" t="str">
        <x:v>september 2026</x:v>
      </x:c>
      <x:c r="C9" s="196"/>
      <x:c r="D9" s="196"/>
      <x:c r="E9" s="196"/>
      <x:c r="F9" s="198" t="str">
        <x:v>Volwassene p.m.</x:v>
      </x:c>
      <x:c r="G9" s="202" t="n">
        <x:f>INDEX($C$15:$C$19,MATCH($G$7,$A$15:$A$19,0))</x:f>
        <x:v>800</x:v>
      </x:c>
      <x:c r="H9" s="196"/>
      <x:c r="I9" s="195"/>
      <x:c r="J9" s="195"/>
      <x:c r="K9" s="195"/>
      <x:c r="L9" s="195"/>
      <x:c r="M9" s="195"/>
      <x:c r="N9" s="195"/>
      <x:c r="O9" s="195"/>
      <x:c r="P9" s="195"/>
      <x:c r="Q9" s="195"/>
      <x:c r="R9" s="195"/>
      <x:c r="S9" s="195"/>
      <x:c r="T9" s="195"/>
      <x:c r="U9" s="195"/>
      <x:c r="V9" s="195"/>
      <x:c r="W9" s="195"/>
      <x:c r="X9" s="195"/>
      <x:c r="Y9" s="195"/>
      <x:c r="Z9" s="195"/>
    </x:row>
    <x:row r="10">
      <x:c r="A10" s="198" t="str">
        <x:v>Beleidsvariant</x:v>
      </x:c>
      <x:c r="B10" s="215" t="str">
        <x:v>illustratieve doorrekening</x:v>
      </x:c>
      <x:c r="C10" s="196"/>
      <x:c r="D10" s="196"/>
      <x:c r="E10" s="196"/>
      <x:c r="F10" s="198" t="str">
        <x:v>Kind p.m.</x:v>
      </x:c>
      <x:c r="G10" s="207" t="n">
        <x:f>INDEX($D$15:$D$19,MATCH($G$7,$A$15:$A$19,0))</x:f>
        <x:v>0</x:v>
      </x:c>
      <x:c r="H10" s="196"/>
      <x:c r="I10" s="195"/>
      <x:c r="J10" s="195"/>
      <x:c r="K10" s="195"/>
      <x:c r="L10" s="195"/>
      <x:c r="M10" s="195"/>
      <x:c r="N10" s="195"/>
      <x:c r="O10" s="195"/>
      <x:c r="P10" s="195"/>
      <x:c r="Q10" s="195"/>
      <x:c r="R10" s="195"/>
      <x:c r="S10" s="195"/>
      <x:c r="T10" s="195"/>
      <x:c r="U10" s="195"/>
      <x:c r="V10" s="195"/>
      <x:c r="W10" s="195"/>
      <x:c r="X10" s="195"/>
      <x:c r="Y10" s="195"/>
      <x:c r="Z10" s="195"/>
    </x:row>
    <x:row r="11">
      <x:c r="A11" s="198" t="str">
        <x:v>Doeldekking</x:v>
      </x:c>
      <x:c r="B11" s="216" t="n">
        <x:v>0.95</x:v>
      </x:c>
      <x:c r="C11" s="196"/>
      <x:c r="D11" s="196"/>
      <x:c r="E11" s="196"/>
      <x:c r="F11" s="196"/>
      <x:c r="G11" s="196"/>
      <x:c r="H11" s="196"/>
      <x:c r="I11" s="195"/>
      <x:c r="J11" s="195"/>
      <x:c r="K11" s="195"/>
      <x:c r="L11" s="195"/>
      <x:c r="M11" s="195"/>
      <x:c r="N11" s="195"/>
      <x:c r="O11" s="195"/>
      <x:c r="P11" s="195"/>
      <x:c r="Q11" s="195"/>
      <x:c r="R11" s="195"/>
      <x:c r="S11" s="195"/>
      <x:c r="T11" s="195"/>
      <x:c r="U11" s="195"/>
      <x:c r="V11" s="195"/>
      <x:c r="W11" s="195"/>
      <x:c r="X11" s="195"/>
      <x:c r="Y11" s="195"/>
      <x:c r="Z11" s="195"/>
    </x:row>
    <x:row r="12">
      <x:c r="A12" s="196"/>
      <x:c r="B12" s="196"/>
      <x:c r="C12" s="196"/>
      <x:c r="D12" s="196"/>
      <x:c r="E12" s="196"/>
      <x:c r="F12" s="196"/>
      <x:c r="G12" s="196"/>
      <x:c r="H12" s="196"/>
      <x:c r="I12" s="195"/>
      <x:c r="J12" s="195"/>
      <x:c r="K12" s="195"/>
      <x:c r="L12" s="195"/>
      <x:c r="M12" s="195"/>
      <x:c r="N12" s="195"/>
      <x:c r="O12" s="195"/>
      <x:c r="P12" s="195"/>
      <x:c r="Q12" s="195"/>
      <x:c r="R12" s="195"/>
      <x:c r="S12" s="195"/>
      <x:c r="T12" s="195"/>
      <x:c r="U12" s="195"/>
      <x:c r="V12" s="195"/>
      <x:c r="W12" s="195"/>
      <x:c r="X12" s="195"/>
      <x:c r="Y12" s="195"/>
      <x:c r="Z12" s="195"/>
    </x:row>
    <x:row r="13" ht="23" customHeight="1">
      <x:c r="A13" s="118" t="str">
        <x:v>Scenario’s basisinkomen</x:v>
      </x:c>
      <x:c r="B13" s="118"/>
      <x:c r="C13" s="118"/>
      <x:c r="D13" s="118"/>
      <x:c r="E13" s="196"/>
      <x:c r="F13" s="118" t="str">
        <x:v>Leeswijzer</x:v>
      </x:c>
      <x:c r="G13" s="118"/>
      <x:c r="H13" s="118"/>
      <x:c r="I13" s="195"/>
      <x:c r="J13" s="195"/>
      <x:c r="K13" s="195"/>
      <x:c r="L13" s="195"/>
      <x:c r="M13" s="195"/>
      <x:c r="N13" s="195"/>
      <x:c r="O13" s="195"/>
      <x:c r="P13" s="195"/>
      <x:c r="Q13" s="195"/>
      <x:c r="R13" s="195"/>
      <x:c r="S13" s="195"/>
      <x:c r="T13" s="195"/>
      <x:c r="U13" s="195"/>
      <x:c r="V13" s="195"/>
      <x:c r="W13" s="195"/>
      <x:c r="X13" s="195"/>
      <x:c r="Y13" s="195"/>
      <x:c r="Z13" s="195"/>
    </x:row>
    <x:row r="14">
      <x:c r="A14" s="20" t="str">
        <x:v>ID</x:v>
      </x:c>
      <x:c r="B14" s="21" t="str">
        <x:v>Scenarionaam</x:v>
      </x:c>
      <x:c r="C14" s="21" t="str">
        <x:v>Volwassene p.m.</x:v>
      </x:c>
      <x:c r="D14" s="22" t="str">
        <x:v>Kind p.m.</x:v>
      </x:c>
      <x:c r="E14" s="196"/>
      <x:c r="F14" s="217" t="str">
        <x:v>Geel</x:v>
      </x:c>
      <x:c r="G14" s="211" t="str">
        <x:v>invullen of vervangen</x:v>
      </x:c>
      <x:c r="H14" s="211" t="str"/>
      <x:c r="I14" s="195"/>
      <x:c r="J14" s="195"/>
      <x:c r="K14" s="195"/>
      <x:c r="L14" s="195"/>
      <x:c r="M14" s="195"/>
      <x:c r="N14" s="195"/>
      <x:c r="O14" s="195"/>
      <x:c r="P14" s="195"/>
      <x:c r="Q14" s="195"/>
      <x:c r="R14" s="195"/>
      <x:c r="S14" s="195"/>
      <x:c r="T14" s="195"/>
      <x:c r="U14" s="195"/>
      <x:c r="V14" s="195"/>
      <x:c r="W14" s="195"/>
      <x:c r="X14" s="195"/>
      <x:c r="Y14" s="195"/>
      <x:c r="Z14" s="195"/>
    </x:row>
    <x:row r="15">
      <x:c r="A15" s="196" t="n">
        <x:v>1</x:v>
      </x:c>
      <x:c r="B15" s="218" t="str">
        <x:v>Zonder basisinkomen</x:v>
      </x:c>
      <x:c r="C15" s="219" t="n">
        <x:v>0</x:v>
      </x:c>
      <x:c r="D15" s="220" t="n">
        <x:v>0</x:v>
      </x:c>
      <x:c r="E15" s="196"/>
      <x:c r="F15" s="221" t="str">
        <x:v>Lichtblauw</x:v>
      </x:c>
      <x:c r="G15" s="211" t="str">
        <x:v>wordt berekend</x:v>
      </x:c>
      <x:c r="H15" s="211" t="str"/>
      <x:c r="I15" s="195"/>
      <x:c r="J15" s="195"/>
      <x:c r="K15" s="195"/>
      <x:c r="L15" s="195"/>
      <x:c r="M15" s="195"/>
      <x:c r="N15" s="195"/>
      <x:c r="O15" s="195"/>
      <x:c r="P15" s="195"/>
      <x:c r="Q15" s="195"/>
      <x:c r="R15" s="195"/>
      <x:c r="S15" s="195"/>
      <x:c r="T15" s="195"/>
      <x:c r="U15" s="195"/>
      <x:c r="V15" s="195"/>
      <x:c r="W15" s="195"/>
      <x:c r="X15" s="195"/>
      <x:c r="Y15" s="195"/>
      <x:c r="Z15" s="195"/>
    </x:row>
    <x:row r="16">
      <x:c r="A16" s="196" t="n">
        <x:v>2</x:v>
      </x:c>
      <x:c r="B16" s="222" t="str">
        <x:v>Laag</x:v>
      </x:c>
      <x:c r="C16" s="223" t="n">
        <x:v>800</x:v>
      </x:c>
      <x:c r="D16" s="224" t="n">
        <x:v>0</x:v>
      </x:c>
      <x:c r="E16" s="196"/>
      <x:c r="F16" s="225" t="str">
        <x:v>Grijs</x:v>
      </x:c>
      <x:c r="G16" s="211" t="str">
        <x:v>uitleg of bron</x:v>
      </x:c>
      <x:c r="H16" s="211" t="str"/>
      <x:c r="I16" s="195"/>
      <x:c r="J16" s="195"/>
      <x:c r="K16" s="195"/>
      <x:c r="L16" s="195"/>
      <x:c r="M16" s="195"/>
      <x:c r="N16" s="195"/>
      <x:c r="O16" s="195"/>
      <x:c r="P16" s="195"/>
      <x:c r="Q16" s="195"/>
      <x:c r="R16" s="195"/>
      <x:c r="S16" s="195"/>
      <x:c r="T16" s="195"/>
      <x:c r="U16" s="195"/>
      <x:c r="V16" s="195"/>
      <x:c r="W16" s="195"/>
      <x:c r="X16" s="195"/>
      <x:c r="Y16" s="195"/>
      <x:c r="Z16" s="195"/>
    </x:row>
    <x:row r="17">
      <x:c r="A17" s="196" t="n">
        <x:v>3</x:v>
      </x:c>
      <x:c r="B17" s="222" t="str">
        <x:v>Midden</x:v>
      </x:c>
      <x:c r="C17" s="223" t="n">
        <x:v>1000</x:v>
      </x:c>
      <x:c r="D17" s="224" t="n">
        <x:v>150</x:v>
      </x:c>
      <x:c r="E17" s="196"/>
      <x:c r="F17" s="226" t="str">
        <x:v>Doeldekking</x:v>
      </x:c>
      <x:c r="G17" s="211" t="str">
        <x:v>aandeel huishoudens dat minimaal toereikend moet zijn</x:v>
      </x:c>
      <x:c r="H17" s="211" t="str"/>
      <x:c r="I17" s="195"/>
      <x:c r="J17" s="195"/>
      <x:c r="K17" s="195"/>
      <x:c r="L17" s="195"/>
      <x:c r="M17" s="195"/>
      <x:c r="N17" s="195"/>
      <x:c r="O17" s="195"/>
      <x:c r="P17" s="195"/>
      <x:c r="Q17" s="195"/>
      <x:c r="R17" s="195"/>
      <x:c r="S17" s="195"/>
      <x:c r="T17" s="195"/>
      <x:c r="U17" s="195"/>
      <x:c r="V17" s="195"/>
      <x:c r="W17" s="195"/>
      <x:c r="X17" s="195"/>
      <x:c r="Y17" s="195"/>
      <x:c r="Z17" s="195"/>
    </x:row>
    <x:row r="18">
      <x:c r="A18" s="196" t="n">
        <x:v>4</x:v>
      </x:c>
      <x:c r="B18" s="222" t="str">
        <x:v>Hoog</x:v>
      </x:c>
      <x:c r="C18" s="223" t="n">
        <x:v>1200</x:v>
      </x:c>
      <x:c r="D18" s="224" t="n">
        <x:v>250</x:v>
      </x:c>
      <x:c r="E18" s="196"/>
      <x:c r="F18" s="226" t="str">
        <x:v>Let op</x:v>
      </x:c>
      <x:c r="G18" s="211" t="str">
        <x:v>een scenario is geen beleidsadvies; laat verdeling en uitvoerbaarheid apart zien</x:v>
      </x:c>
      <x:c r="H18" s="211" t="str"/>
      <x:c r="I18" s="195"/>
      <x:c r="J18" s="195"/>
      <x:c r="K18" s="195"/>
      <x:c r="L18" s="195"/>
      <x:c r="M18" s="195"/>
      <x:c r="N18" s="195"/>
      <x:c r="O18" s="195"/>
      <x:c r="P18" s="195"/>
      <x:c r="Q18" s="195"/>
      <x:c r="R18" s="195"/>
      <x:c r="S18" s="195"/>
      <x:c r="T18" s="195"/>
      <x:c r="U18" s="195"/>
      <x:c r="V18" s="195"/>
      <x:c r="W18" s="195"/>
      <x:c r="X18" s="195"/>
      <x:c r="Y18" s="195"/>
      <x:c r="Z18" s="195"/>
    </x:row>
    <x:row r="19">
      <x:c r="A19" s="196" t="n">
        <x:v>5</x:v>
      </x:c>
      <x:c r="B19" s="227" t="str">
        <x:v>Ruim</x:v>
      </x:c>
      <x:c r="C19" s="228" t="n">
        <x:v>1400</x:v>
      </x:c>
      <x:c r="D19" s="229" t="n">
        <x:v>350</x:v>
      </x:c>
      <x:c r="E19" s="196"/>
      <x:c r="F19" s="226" t="str">
        <x:v>Versie</x:v>
      </x:c>
      <x:c r="G19" s="211" t="str">
        <x:v>0.1 – 11 september 2026</x:v>
      </x:c>
      <x:c r="H19" s="211" t="str"/>
      <x:c r="I19" s="195"/>
      <x:c r="J19" s="195"/>
      <x:c r="K19" s="195"/>
      <x:c r="L19" s="195"/>
      <x:c r="M19" s="195"/>
      <x:c r="N19" s="195"/>
      <x:c r="O19" s="195"/>
      <x:c r="P19" s="195"/>
      <x:c r="Q19" s="195"/>
      <x:c r="R19" s="195"/>
      <x:c r="S19" s="195"/>
      <x:c r="T19" s="195"/>
      <x:c r="U19" s="195"/>
      <x:c r="V19" s="195"/>
      <x:c r="W19" s="195"/>
      <x:c r="X19" s="195"/>
      <x:c r="Y19" s="195"/>
      <x:c r="Z19" s="195"/>
    </x:row>
    <x:row r="20">
      <x:c r="A20" s="196"/>
      <x:c r="B20" s="196"/>
      <x:c r="C20" s="196"/>
      <x:c r="D20" s="196"/>
      <x:c r="E20" s="196"/>
      <x:c r="F20" s="196"/>
      <x:c r="G20" s="196"/>
      <x:c r="H20" s="196"/>
      <x:c r="I20" s="195"/>
      <x:c r="J20" s="195"/>
      <x:c r="K20" s="195"/>
      <x:c r="L20" s="195"/>
      <x:c r="M20" s="195"/>
      <x:c r="N20" s="195"/>
      <x:c r="O20" s="195"/>
      <x:c r="P20" s="195"/>
      <x:c r="Q20" s="195"/>
      <x:c r="R20" s="195"/>
      <x:c r="S20" s="195"/>
      <x:c r="T20" s="195"/>
      <x:c r="U20" s="195"/>
      <x:c r="V20" s="195"/>
      <x:c r="W20" s="195"/>
      <x:c r="X20" s="195"/>
      <x:c r="Y20" s="195"/>
      <x:c r="Z20" s="195"/>
    </x:row>
    <x:row r="21">
      <x:c r="A21" s="211" t="str">
        <x:v>Definitie</x:v>
      </x:c>
      <x:c r="B21" s="211" t="str">
        <x:v>Het basisinkomen is in dit model een onvoorwaardelijk bedrag per persoon. Andere inkomens en woonlasten worden apart ingevoerd.</x:v>
      </x:c>
      <x:c r="C21" s="211" t="str"/>
      <x:c r="D21" s="211" t="str"/>
      <x:c r="E21" s="211" t="str"/>
      <x:c r="F21" s="211" t="str"/>
      <x:c r="G21" s="211" t="str"/>
      <x:c r="H21" s="211" t="str"/>
      <x:c r="I21" s="195"/>
      <x:c r="J21" s="195"/>
      <x:c r="K21" s="195"/>
      <x:c r="L21" s="195"/>
      <x:c r="M21" s="195"/>
      <x:c r="N21" s="195"/>
      <x:c r="O21" s="195"/>
      <x:c r="P21" s="195"/>
      <x:c r="Q21" s="195"/>
      <x:c r="R21" s="195"/>
      <x:c r="S21" s="195"/>
      <x:c r="T21" s="195"/>
      <x:c r="U21" s="195"/>
      <x:c r="V21" s="195"/>
      <x:c r="W21" s="195"/>
      <x:c r="X21" s="195"/>
      <x:c r="Y21" s="195"/>
      <x:c r="Z21" s="195"/>
    </x:row>
    <x:row r="22">
      <x:c r="A22" s="211" t="str">
        <x:v>Gebruik</x:v>
      </x:c>
      <x:c r="B22" s="211" t="str">
        <x:v>Vergelijk meerdere bedragen en laat steeds dekking, resterend tekort en netto publieke kosten zien.</x:v>
      </x:c>
      <x:c r="C22" s="211" t="str"/>
      <x:c r="D22" s="211" t="str"/>
      <x:c r="E22" s="211" t="str"/>
      <x:c r="F22" s="211" t="str"/>
      <x:c r="G22" s="211" t="str"/>
      <x:c r="H22" s="211" t="str"/>
      <x:c r="I22" s="195"/>
      <x:c r="J22" s="195"/>
      <x:c r="K22" s="195"/>
      <x:c r="L22" s="195"/>
      <x:c r="M22" s="195"/>
      <x:c r="N22" s="195"/>
      <x:c r="O22" s="195"/>
      <x:c r="P22" s="195"/>
      <x:c r="Q22" s="195"/>
      <x:c r="R22" s="195"/>
      <x:c r="S22" s="195"/>
      <x:c r="T22" s="195"/>
      <x:c r="U22" s="195"/>
      <x:c r="V22" s="195"/>
      <x:c r="W22" s="195"/>
      <x:c r="X22" s="195"/>
      <x:c r="Y22" s="195"/>
      <x:c r="Z22" s="195"/>
    </x:row>
    <x:row r="23">
      <x:c r="A23" s="211" t="str">
        <x:v>Niet doen</x:v>
      </x:c>
      <x:c r="B23" s="211" t="str">
        <x:v>Het resultaat niet presenteren als voorspelling zolang inputdata illustratief of onvolledig zijn.</x:v>
      </x:c>
      <x:c r="C23" s="211" t="str"/>
      <x:c r="D23" s="211" t="str"/>
      <x:c r="E23" s="211" t="str"/>
      <x:c r="F23" s="211" t="str"/>
      <x:c r="G23" s="211" t="str"/>
      <x:c r="H23" s="211" t="str"/>
      <x:c r="I23" s="195"/>
      <x:c r="J23" s="195"/>
      <x:c r="K23" s="195"/>
      <x:c r="L23" s="195"/>
      <x:c r="M23" s="195"/>
      <x:c r="N23" s="195"/>
      <x:c r="O23" s="195"/>
      <x:c r="P23" s="195"/>
      <x:c r="Q23" s="195"/>
      <x:c r="R23" s="195"/>
      <x:c r="S23" s="195"/>
      <x:c r="T23" s="195"/>
      <x:c r="U23" s="195"/>
      <x:c r="V23" s="195"/>
      <x:c r="W23" s="195"/>
      <x:c r="X23" s="195"/>
      <x:c r="Y23" s="195"/>
      <x:c r="Z23" s="195"/>
    </x:row>
    <x:row r="24">
      <x:c r="A24" s="195"/>
      <x:c r="B24" s="195"/>
      <x:c r="C24" s="195"/>
      <x:c r="D24" s="195"/>
      <x:c r="E24" s="195"/>
      <x:c r="F24" s="195"/>
      <x:c r="G24" s="195"/>
      <x:c r="H24" s="195"/>
      <x:c r="I24" s="195"/>
      <x:c r="J24" s="195"/>
      <x:c r="K24" s="195"/>
      <x:c r="L24" s="195"/>
      <x:c r="M24" s="195"/>
      <x:c r="N24" s="195"/>
      <x:c r="O24" s="195"/>
      <x:c r="P24" s="195"/>
      <x:c r="Q24" s="195"/>
      <x:c r="R24" s="195"/>
      <x:c r="S24" s="195"/>
      <x:c r="T24" s="195"/>
      <x:c r="U24" s="195"/>
      <x:c r="V24" s="195"/>
      <x:c r="W24" s="195"/>
      <x:c r="X24" s="195"/>
      <x:c r="Y24" s="195"/>
      <x:c r="Z24" s="195"/>
    </x:row>
    <x:row r="25">
      <x:c r="A25" s="195"/>
      <x:c r="B25" s="195"/>
      <x:c r="C25" s="195"/>
      <x:c r="D25" s="195"/>
      <x:c r="E25" s="195"/>
      <x:c r="F25" s="195"/>
      <x:c r="G25" s="195"/>
      <x:c r="H25" s="195"/>
      <x:c r="I25" s="195"/>
      <x:c r="J25" s="195"/>
      <x:c r="K25" s="195"/>
      <x:c r="L25" s="195"/>
      <x:c r="M25" s="195"/>
      <x:c r="N25" s="195"/>
      <x:c r="O25" s="195"/>
      <x:c r="P25" s="195"/>
      <x:c r="Q25" s="195"/>
      <x:c r="R25" s="195"/>
      <x:c r="S25" s="195"/>
      <x:c r="T25" s="195"/>
      <x:c r="U25" s="195"/>
      <x:c r="V25" s="195"/>
      <x:c r="W25" s="195"/>
      <x:c r="X25" s="195"/>
      <x:c r="Y25" s="195"/>
      <x:c r="Z25" s="195"/>
    </x:row>
    <x:row r="26">
      <x:c r="A26" s="195"/>
      <x:c r="B26" s="195"/>
      <x:c r="C26" s="195"/>
      <x:c r="D26" s="195"/>
      <x:c r="E26" s="195"/>
      <x:c r="F26" s="195"/>
      <x:c r="G26" s="195"/>
      <x:c r="H26" s="195"/>
      <x:c r="I26" s="195"/>
      <x:c r="J26" s="195"/>
      <x:c r="K26" s="195"/>
      <x:c r="L26" s="195"/>
      <x:c r="M26" s="195"/>
      <x:c r="N26" s="195"/>
      <x:c r="O26" s="195"/>
      <x:c r="P26" s="195"/>
      <x:c r="Q26" s="195"/>
      <x:c r="R26" s="195"/>
      <x:c r="S26" s="195"/>
      <x:c r="T26" s="195"/>
      <x:c r="U26" s="195"/>
      <x:c r="V26" s="195"/>
      <x:c r="W26" s="195"/>
      <x:c r="X26" s="195"/>
      <x:c r="Y26" s="195"/>
      <x:c r="Z26" s="195"/>
    </x:row>
    <x:row r="27">
      <x:c r="A27" s="195"/>
      <x:c r="B27" s="195"/>
      <x:c r="C27" s="195"/>
      <x:c r="D27" s="195"/>
      <x:c r="E27" s="195"/>
      <x:c r="F27" s="195"/>
      <x:c r="G27" s="195"/>
      <x:c r="H27" s="195"/>
      <x:c r="I27" s="195"/>
      <x:c r="J27" s="195"/>
      <x:c r="K27" s="195"/>
      <x:c r="L27" s="195"/>
      <x:c r="M27" s="195"/>
      <x:c r="N27" s="195"/>
      <x:c r="O27" s="195"/>
      <x:c r="P27" s="195"/>
      <x:c r="Q27" s="195"/>
      <x:c r="R27" s="195"/>
      <x:c r="S27" s="195"/>
      <x:c r="T27" s="195"/>
      <x:c r="U27" s="195"/>
      <x:c r="V27" s="195"/>
      <x:c r="W27" s="195"/>
      <x:c r="X27" s="195"/>
      <x:c r="Y27" s="195"/>
      <x:c r="Z27" s="195"/>
    </x:row>
    <x:row r="28">
      <x:c r="A28" s="195"/>
      <x:c r="B28" s="195"/>
      <x:c r="C28" s="195"/>
      <x:c r="D28" s="195"/>
      <x:c r="E28" s="195"/>
      <x:c r="F28" s="195"/>
      <x:c r="G28" s="195"/>
      <x:c r="H28" s="195"/>
      <x:c r="I28" s="195"/>
      <x:c r="J28" s="195"/>
      <x:c r="K28" s="195"/>
      <x:c r="L28" s="195"/>
      <x:c r="M28" s="195"/>
      <x:c r="N28" s="195"/>
      <x:c r="O28" s="195"/>
      <x:c r="P28" s="195"/>
      <x:c r="Q28" s="195"/>
      <x:c r="R28" s="195"/>
      <x:c r="S28" s="195"/>
      <x:c r="T28" s="195"/>
      <x:c r="U28" s="195"/>
      <x:c r="V28" s="195"/>
      <x:c r="W28" s="195"/>
      <x:c r="X28" s="195"/>
      <x:c r="Y28" s="195"/>
      <x:c r="Z28" s="195"/>
    </x:row>
    <x:row r="29">
      <x:c r="A29" s="195"/>
      <x:c r="B29" s="195"/>
      <x:c r="C29" s="195"/>
      <x:c r="D29" s="195"/>
      <x:c r="E29" s="195"/>
      <x:c r="F29" s="195"/>
      <x:c r="G29" s="195"/>
      <x:c r="H29" s="195"/>
      <x:c r="I29" s="195"/>
      <x:c r="J29" s="195"/>
      <x:c r="K29" s="195"/>
      <x:c r="L29" s="195"/>
      <x:c r="M29" s="195"/>
      <x:c r="N29" s="195"/>
      <x:c r="O29" s="195"/>
      <x:c r="P29" s="195"/>
      <x:c r="Q29" s="195"/>
      <x:c r="R29" s="195"/>
      <x:c r="S29" s="195"/>
      <x:c r="T29" s="195"/>
      <x:c r="U29" s="195"/>
      <x:c r="V29" s="195"/>
      <x:c r="W29" s="195"/>
      <x:c r="X29" s="195"/>
      <x:c r="Y29" s="195"/>
      <x:c r="Z29" s="195"/>
    </x:row>
    <x:row r="30">
      <x:c r="A30" s="195"/>
      <x:c r="B30" s="195"/>
      <x:c r="C30" s="195"/>
      <x:c r="D30" s="195"/>
      <x:c r="E30" s="195"/>
      <x:c r="F30" s="195"/>
      <x:c r="G30" s="195"/>
      <x:c r="H30" s="195"/>
      <x:c r="I30" s="195"/>
      <x:c r="J30" s="195"/>
      <x:c r="K30" s="195"/>
      <x:c r="L30" s="195"/>
      <x:c r="M30" s="195"/>
      <x:c r="N30" s="195"/>
      <x:c r="O30" s="195"/>
      <x:c r="P30" s="195"/>
      <x:c r="Q30" s="195"/>
      <x:c r="R30" s="195"/>
      <x:c r="S30" s="195"/>
      <x:c r="T30" s="195"/>
      <x:c r="U30" s="195"/>
      <x:c r="V30" s="195"/>
      <x:c r="W30" s="195"/>
      <x:c r="X30" s="195"/>
      <x:c r="Y30" s="195"/>
      <x:c r="Z30" s="195"/>
    </x:row>
    <x:row r="31">
      <x:c r="A31" s="195"/>
      <x:c r="B31" s="195"/>
      <x:c r="C31" s="195"/>
      <x:c r="D31" s="195"/>
      <x:c r="E31" s="195"/>
      <x:c r="F31" s="195"/>
      <x:c r="G31" s="195"/>
      <x:c r="H31" s="195"/>
      <x:c r="I31" s="195"/>
      <x:c r="J31" s="195"/>
      <x:c r="K31" s="195"/>
      <x:c r="L31" s="195"/>
      <x:c r="M31" s="195"/>
      <x:c r="N31" s="195"/>
      <x:c r="O31" s="195"/>
      <x:c r="P31" s="195"/>
      <x:c r="Q31" s="195"/>
      <x:c r="R31" s="195"/>
      <x:c r="S31" s="195"/>
      <x:c r="T31" s="195"/>
      <x:c r="U31" s="195"/>
      <x:c r="V31" s="195"/>
      <x:c r="W31" s="195"/>
      <x:c r="X31" s="195"/>
      <x:c r="Y31" s="195"/>
      <x:c r="Z31" s="195"/>
    </x:row>
    <x:row r="32">
      <x:c r="A32" s="195"/>
      <x:c r="B32" s="195"/>
      <x:c r="C32" s="195"/>
      <x:c r="D32" s="195"/>
      <x:c r="E32" s="195"/>
      <x:c r="F32" s="195"/>
      <x:c r="G32" s="195"/>
      <x:c r="H32" s="195"/>
      <x:c r="I32" s="195"/>
      <x:c r="J32" s="195"/>
      <x:c r="K32" s="195"/>
      <x:c r="L32" s="195"/>
      <x:c r="M32" s="195"/>
      <x:c r="N32" s="195"/>
      <x:c r="O32" s="195"/>
      <x:c r="P32" s="195"/>
      <x:c r="Q32" s="195"/>
      <x:c r="R32" s="195"/>
      <x:c r="S32" s="195"/>
      <x:c r="T32" s="195"/>
      <x:c r="U32" s="195"/>
      <x:c r="V32" s="195"/>
      <x:c r="W32" s="195"/>
      <x:c r="X32" s="195"/>
      <x:c r="Y32" s="195"/>
      <x:c r="Z32" s="195"/>
    </x:row>
    <x:row r="33">
      <x:c r="A33" s="195"/>
      <x:c r="B33" s="195"/>
      <x:c r="C33" s="195"/>
      <x:c r="D33" s="195"/>
      <x:c r="E33" s="195"/>
      <x:c r="F33" s="195"/>
      <x:c r="G33" s="195"/>
      <x:c r="H33" s="195"/>
      <x:c r="I33" s="195"/>
      <x:c r="J33" s="195"/>
      <x:c r="K33" s="195"/>
      <x:c r="L33" s="195"/>
      <x:c r="M33" s="195"/>
      <x:c r="N33" s="195"/>
      <x:c r="O33" s="195"/>
      <x:c r="P33" s="195"/>
      <x:c r="Q33" s="195"/>
      <x:c r="R33" s="195"/>
      <x:c r="S33" s="195"/>
      <x:c r="T33" s="195"/>
      <x:c r="U33" s="195"/>
      <x:c r="V33" s="195"/>
      <x:c r="W33" s="195"/>
      <x:c r="X33" s="195"/>
      <x:c r="Y33" s="195"/>
      <x:c r="Z33" s="195"/>
    </x:row>
    <x:row r="34">
      <x:c r="A34" s="195"/>
      <x:c r="B34" s="195"/>
      <x:c r="C34" s="195"/>
      <x:c r="D34" s="195"/>
      <x:c r="E34" s="195"/>
      <x:c r="F34" s="195"/>
      <x:c r="G34" s="195"/>
      <x:c r="H34" s="195"/>
      <x:c r="I34" s="195"/>
      <x:c r="J34" s="195"/>
      <x:c r="K34" s="195"/>
      <x:c r="L34" s="195"/>
      <x:c r="M34" s="195"/>
      <x:c r="N34" s="195"/>
      <x:c r="O34" s="195"/>
      <x:c r="P34" s="195"/>
      <x:c r="Q34" s="195"/>
      <x:c r="R34" s="195"/>
      <x:c r="S34" s="195"/>
      <x:c r="T34" s="195"/>
      <x:c r="U34" s="195"/>
      <x:c r="V34" s="195"/>
      <x:c r="W34" s="195"/>
      <x:c r="X34" s="195"/>
      <x:c r="Y34" s="195"/>
      <x:c r="Z34" s="195"/>
    </x:row>
    <x:row r="35">
      <x:c r="A35" s="195"/>
      <x:c r="B35" s="195"/>
      <x:c r="C35" s="195"/>
      <x:c r="D35" s="195"/>
      <x:c r="E35" s="195"/>
      <x:c r="F35" s="195"/>
      <x:c r="G35" s="195"/>
      <x:c r="H35" s="195"/>
      <x:c r="I35" s="195"/>
      <x:c r="J35" s="195"/>
      <x:c r="K35" s="195"/>
      <x:c r="L35" s="195"/>
      <x:c r="M35" s="195"/>
      <x:c r="N35" s="195"/>
      <x:c r="O35" s="195"/>
      <x:c r="P35" s="195"/>
      <x:c r="Q35" s="195"/>
      <x:c r="R35" s="195"/>
      <x:c r="S35" s="195"/>
      <x:c r="T35" s="195"/>
      <x:c r="U35" s="195"/>
      <x:c r="V35" s="195"/>
      <x:c r="W35" s="195"/>
      <x:c r="X35" s="195"/>
      <x:c r="Y35" s="195"/>
      <x:c r="Z35" s="195"/>
    </x:row>
    <x:row r="36">
      <x:c r="A36" s="195"/>
      <x:c r="B36" s="195"/>
      <x:c r="C36" s="195"/>
      <x:c r="D36" s="195"/>
      <x:c r="E36" s="195"/>
      <x:c r="F36" s="195"/>
      <x:c r="G36" s="195"/>
      <x:c r="H36" s="195"/>
      <x:c r="I36" s="195"/>
      <x:c r="J36" s="195"/>
      <x:c r="K36" s="195"/>
      <x:c r="L36" s="195"/>
      <x:c r="M36" s="195"/>
      <x:c r="N36" s="195"/>
      <x:c r="O36" s="195"/>
      <x:c r="P36" s="195"/>
      <x:c r="Q36" s="195"/>
      <x:c r="R36" s="195"/>
      <x:c r="S36" s="195"/>
      <x:c r="T36" s="195"/>
      <x:c r="U36" s="195"/>
      <x:c r="V36" s="195"/>
      <x:c r="W36" s="195"/>
      <x:c r="X36" s="195"/>
      <x:c r="Y36" s="195"/>
      <x:c r="Z36" s="195"/>
    </x:row>
    <x:row r="37">
      <x:c r="A37" s="195"/>
      <x:c r="B37" s="195"/>
      <x:c r="C37" s="195"/>
      <x:c r="D37" s="195"/>
      <x:c r="E37" s="195"/>
      <x:c r="F37" s="195"/>
      <x:c r="G37" s="195"/>
      <x:c r="H37" s="195"/>
      <x:c r="I37" s="195"/>
      <x:c r="J37" s="195"/>
      <x:c r="K37" s="195"/>
      <x:c r="L37" s="195"/>
      <x:c r="M37" s="195"/>
      <x:c r="N37" s="195"/>
      <x:c r="O37" s="195"/>
      <x:c r="P37" s="195"/>
      <x:c r="Q37" s="195"/>
      <x:c r="R37" s="195"/>
      <x:c r="S37" s="195"/>
      <x:c r="T37" s="195"/>
      <x:c r="U37" s="195"/>
      <x:c r="V37" s="195"/>
      <x:c r="W37" s="195"/>
      <x:c r="X37" s="195"/>
      <x:c r="Y37" s="195"/>
      <x:c r="Z37" s="195"/>
    </x:row>
    <x:row r="38">
      <x:c r="A38" s="195"/>
      <x:c r="B38" s="195"/>
      <x:c r="C38" s="195"/>
      <x:c r="D38" s="195"/>
      <x:c r="E38" s="195"/>
      <x:c r="F38" s="195"/>
      <x:c r="G38" s="195"/>
      <x:c r="H38" s="195"/>
      <x:c r="I38" s="195"/>
      <x:c r="J38" s="195"/>
      <x:c r="K38" s="195"/>
      <x:c r="L38" s="195"/>
      <x:c r="M38" s="195"/>
      <x:c r="N38" s="195"/>
      <x:c r="O38" s="195"/>
      <x:c r="P38" s="195"/>
      <x:c r="Q38" s="195"/>
      <x:c r="R38" s="195"/>
      <x:c r="S38" s="195"/>
      <x:c r="T38" s="195"/>
      <x:c r="U38" s="195"/>
      <x:c r="V38" s="195"/>
      <x:c r="W38" s="195"/>
      <x:c r="X38" s="195"/>
      <x:c r="Y38" s="195"/>
      <x:c r="Z38" s="195"/>
    </x:row>
    <x:row r="39">
      <x:c r="A39" s="195"/>
      <x:c r="B39" s="195"/>
      <x:c r="C39" s="195"/>
      <x:c r="D39" s="195"/>
      <x:c r="E39" s="195"/>
      <x:c r="F39" s="195"/>
      <x:c r="G39" s="195"/>
      <x:c r="H39" s="195"/>
      <x:c r="I39" s="195"/>
      <x:c r="J39" s="195"/>
      <x:c r="K39" s="195"/>
      <x:c r="L39" s="195"/>
      <x:c r="M39" s="195"/>
      <x:c r="N39" s="195"/>
      <x:c r="O39" s="195"/>
      <x:c r="P39" s="195"/>
      <x:c r="Q39" s="195"/>
      <x:c r="R39" s="195"/>
      <x:c r="S39" s="195"/>
      <x:c r="T39" s="195"/>
      <x:c r="U39" s="195"/>
      <x:c r="V39" s="195"/>
      <x:c r="W39" s="195"/>
      <x:c r="X39" s="195"/>
      <x:c r="Y39" s="195"/>
      <x:c r="Z39" s="195"/>
    </x:row>
    <x:row r="40">
      <x:c r="A40" s="195"/>
      <x:c r="B40" s="195"/>
      <x:c r="C40" s="195"/>
      <x:c r="D40" s="195"/>
      <x:c r="E40" s="195"/>
      <x:c r="F40" s="195"/>
      <x:c r="G40" s="195"/>
      <x:c r="H40" s="195"/>
      <x:c r="I40" s="195"/>
      <x:c r="J40" s="195"/>
      <x:c r="K40" s="195"/>
      <x:c r="L40" s="195"/>
      <x:c r="M40" s="195"/>
      <x:c r="N40" s="195"/>
      <x:c r="O40" s="195"/>
      <x:c r="P40" s="195"/>
      <x:c r="Q40" s="195"/>
      <x:c r="R40" s="195"/>
      <x:c r="S40" s="195"/>
      <x:c r="T40" s="195"/>
      <x:c r="U40" s="195"/>
      <x:c r="V40" s="195"/>
      <x:c r="W40" s="195"/>
      <x:c r="X40" s="195"/>
      <x:c r="Y40" s="195"/>
      <x:c r="Z40" s="195"/>
    </x:row>
    <x:row r="41">
      <x:c r="A41" s="195"/>
      <x:c r="B41" s="195"/>
      <x:c r="C41" s="195"/>
      <x:c r="D41" s="195"/>
      <x:c r="E41" s="195"/>
      <x:c r="F41" s="195"/>
      <x:c r="G41" s="195"/>
      <x:c r="H41" s="195"/>
      <x:c r="I41" s="195"/>
      <x:c r="J41" s="195"/>
      <x:c r="K41" s="195"/>
      <x:c r="L41" s="195"/>
      <x:c r="M41" s="195"/>
      <x:c r="N41" s="195"/>
      <x:c r="O41" s="195"/>
      <x:c r="P41" s="195"/>
      <x:c r="Q41" s="195"/>
      <x:c r="R41" s="195"/>
      <x:c r="S41" s="195"/>
      <x:c r="T41" s="195"/>
      <x:c r="U41" s="195"/>
      <x:c r="V41" s="195"/>
      <x:c r="W41" s="195"/>
      <x:c r="X41" s="195"/>
      <x:c r="Y41" s="195"/>
      <x:c r="Z41" s="195"/>
    </x:row>
    <x:row r="42">
      <x:c r="A42" s="195"/>
      <x:c r="B42" s="195"/>
      <x:c r="C42" s="195"/>
      <x:c r="D42" s="195"/>
      <x:c r="E42" s="195"/>
      <x:c r="F42" s="195"/>
      <x:c r="G42" s="195"/>
      <x:c r="H42" s="195"/>
      <x:c r="I42" s="195"/>
      <x:c r="J42" s="195"/>
      <x:c r="K42" s="195"/>
      <x:c r="L42" s="195"/>
      <x:c r="M42" s="195"/>
      <x:c r="N42" s="195"/>
      <x:c r="O42" s="195"/>
      <x:c r="P42" s="195"/>
      <x:c r="Q42" s="195"/>
      <x:c r="R42" s="195"/>
      <x:c r="S42" s="195"/>
      <x:c r="T42" s="195"/>
      <x:c r="U42" s="195"/>
      <x:c r="V42" s="195"/>
      <x:c r="W42" s="195"/>
      <x:c r="X42" s="195"/>
      <x:c r="Y42" s="195"/>
      <x:c r="Z42" s="195"/>
    </x:row>
    <x:row r="43">
      <x:c r="A43" s="195"/>
      <x:c r="B43" s="195"/>
      <x:c r="C43" s="195"/>
      <x:c r="D43" s="195"/>
      <x:c r="E43" s="195"/>
      <x:c r="F43" s="195"/>
      <x:c r="G43" s="195"/>
      <x:c r="H43" s="195"/>
      <x:c r="I43" s="195"/>
      <x:c r="J43" s="195"/>
      <x:c r="K43" s="195"/>
      <x:c r="L43" s="195"/>
      <x:c r="M43" s="195"/>
      <x:c r="N43" s="195"/>
      <x:c r="O43" s="195"/>
      <x:c r="P43" s="195"/>
      <x:c r="Q43" s="195"/>
      <x:c r="R43" s="195"/>
      <x:c r="S43" s="195"/>
      <x:c r="T43" s="195"/>
      <x:c r="U43" s="195"/>
      <x:c r="V43" s="195"/>
      <x:c r="W43" s="195"/>
      <x:c r="X43" s="195"/>
      <x:c r="Y43" s="195"/>
      <x:c r="Z43" s="195"/>
    </x:row>
    <x:row r="44">
      <x:c r="A44" s="195"/>
      <x:c r="B44" s="195"/>
      <x:c r="C44" s="195"/>
      <x:c r="D44" s="195"/>
      <x:c r="E44" s="195"/>
      <x:c r="F44" s="195"/>
      <x:c r="G44" s="195"/>
      <x:c r="H44" s="195"/>
      <x:c r="I44" s="195"/>
      <x:c r="J44" s="195"/>
      <x:c r="K44" s="195"/>
      <x:c r="L44" s="195"/>
      <x:c r="M44" s="195"/>
      <x:c r="N44" s="195"/>
      <x:c r="O44" s="195"/>
      <x:c r="P44" s="195"/>
      <x:c r="Q44" s="195"/>
      <x:c r="R44" s="195"/>
      <x:c r="S44" s="195"/>
      <x:c r="T44" s="195"/>
      <x:c r="U44" s="195"/>
      <x:c r="V44" s="195"/>
      <x:c r="W44" s="195"/>
      <x:c r="X44" s="195"/>
      <x:c r="Y44" s="195"/>
      <x:c r="Z44" s="195"/>
    </x:row>
    <x:row r="45">
      <x:c r="A45" s="195"/>
      <x:c r="B45" s="195"/>
      <x:c r="C45" s="195"/>
      <x:c r="D45" s="195"/>
      <x:c r="E45" s="195"/>
      <x:c r="F45" s="195"/>
      <x:c r="G45" s="195"/>
      <x:c r="H45" s="195"/>
      <x:c r="I45" s="195"/>
      <x:c r="J45" s="195"/>
      <x:c r="K45" s="195"/>
      <x:c r="L45" s="195"/>
      <x:c r="M45" s="195"/>
      <x:c r="N45" s="195"/>
      <x:c r="O45" s="195"/>
      <x:c r="P45" s="195"/>
      <x:c r="Q45" s="195"/>
      <x:c r="R45" s="195"/>
      <x:c r="S45" s="195"/>
      <x:c r="T45" s="195"/>
      <x:c r="U45" s="195"/>
      <x:c r="V45" s="195"/>
      <x:c r="W45" s="195"/>
      <x:c r="X45" s="195"/>
      <x:c r="Y45" s="195"/>
      <x:c r="Z45" s="195"/>
    </x:row>
    <x:row r="46">
      <x:c r="A46" s="195"/>
      <x:c r="B46" s="195"/>
      <x:c r="C46" s="195"/>
      <x:c r="D46" s="195"/>
      <x:c r="E46" s="195"/>
      <x:c r="F46" s="195"/>
      <x:c r="G46" s="195"/>
      <x:c r="H46" s="195"/>
      <x:c r="I46" s="195"/>
      <x:c r="J46" s="195"/>
      <x:c r="K46" s="195"/>
      <x:c r="L46" s="195"/>
      <x:c r="M46" s="195"/>
      <x:c r="N46" s="195"/>
      <x:c r="O46" s="195"/>
      <x:c r="P46" s="195"/>
      <x:c r="Q46" s="195"/>
      <x:c r="R46" s="195"/>
      <x:c r="S46" s="195"/>
      <x:c r="T46" s="195"/>
      <x:c r="U46" s="195"/>
      <x:c r="V46" s="195"/>
      <x:c r="W46" s="195"/>
      <x:c r="X46" s="195"/>
      <x:c r="Y46" s="195"/>
      <x:c r="Z46" s="195"/>
    </x:row>
    <x:row r="47">
      <x:c r="A47" s="195"/>
      <x:c r="B47" s="195"/>
      <x:c r="C47" s="195"/>
      <x:c r="D47" s="195"/>
      <x:c r="E47" s="195"/>
      <x:c r="F47" s="195"/>
      <x:c r="G47" s="195"/>
      <x:c r="H47" s="195"/>
      <x:c r="I47" s="195"/>
      <x:c r="J47" s="195"/>
      <x:c r="K47" s="195"/>
      <x:c r="L47" s="195"/>
      <x:c r="M47" s="195"/>
      <x:c r="N47" s="195"/>
      <x:c r="O47" s="195"/>
      <x:c r="P47" s="195"/>
      <x:c r="Q47" s="195"/>
      <x:c r="R47" s="195"/>
      <x:c r="S47" s="195"/>
      <x:c r="T47" s="195"/>
      <x:c r="U47" s="195"/>
      <x:c r="V47" s="195"/>
      <x:c r="W47" s="195"/>
      <x:c r="X47" s="195"/>
      <x:c r="Y47" s="195"/>
      <x:c r="Z47" s="195"/>
    </x:row>
    <x:row r="48">
      <x:c r="A48" s="195"/>
      <x:c r="B48" s="195"/>
      <x:c r="C48" s="195"/>
      <x:c r="D48" s="195"/>
      <x:c r="E48" s="195"/>
      <x:c r="F48" s="195"/>
      <x:c r="G48" s="195"/>
      <x:c r="H48" s="195"/>
      <x:c r="I48" s="195"/>
      <x:c r="J48" s="195"/>
      <x:c r="K48" s="195"/>
      <x:c r="L48" s="195"/>
      <x:c r="M48" s="195"/>
      <x:c r="N48" s="195"/>
      <x:c r="O48" s="195"/>
      <x:c r="P48" s="195"/>
      <x:c r="Q48" s="195"/>
      <x:c r="R48" s="195"/>
      <x:c r="S48" s="195"/>
      <x:c r="T48" s="195"/>
      <x:c r="U48" s="195"/>
      <x:c r="V48" s="195"/>
      <x:c r="W48" s="195"/>
      <x:c r="X48" s="195"/>
      <x:c r="Y48" s="195"/>
      <x:c r="Z48" s="195"/>
    </x:row>
    <x:row r="49">
      <x:c r="A49" s="195"/>
      <x:c r="B49" s="195"/>
      <x:c r="C49" s="195"/>
      <x:c r="D49" s="195"/>
      <x:c r="E49" s="195"/>
      <x:c r="F49" s="195"/>
      <x:c r="G49" s="195"/>
      <x:c r="H49" s="195"/>
      <x:c r="I49" s="195"/>
      <x:c r="J49" s="195"/>
      <x:c r="K49" s="195"/>
      <x:c r="L49" s="195"/>
      <x:c r="M49" s="195"/>
      <x:c r="N49" s="195"/>
      <x:c r="O49" s="195"/>
      <x:c r="P49" s="195"/>
      <x:c r="Q49" s="195"/>
      <x:c r="R49" s="195"/>
      <x:c r="S49" s="195"/>
      <x:c r="T49" s="195"/>
      <x:c r="U49" s="195"/>
      <x:c r="V49" s="195"/>
      <x:c r="W49" s="195"/>
      <x:c r="X49" s="195"/>
      <x:c r="Y49" s="195"/>
      <x:c r="Z49" s="195"/>
    </x:row>
    <x:row r="50">
      <x:c r="A50" s="195"/>
      <x:c r="B50" s="195"/>
      <x:c r="C50" s="195"/>
      <x:c r="D50" s="195"/>
      <x:c r="E50" s="195"/>
      <x:c r="F50" s="195"/>
      <x:c r="G50" s="195"/>
      <x:c r="H50" s="195"/>
      <x:c r="I50" s="195"/>
      <x:c r="J50" s="195"/>
      <x:c r="K50" s="195"/>
      <x:c r="L50" s="195"/>
      <x:c r="M50" s="195"/>
      <x:c r="N50" s="195"/>
      <x:c r="O50" s="195"/>
      <x:c r="P50" s="195"/>
      <x:c r="Q50" s="195"/>
      <x:c r="R50" s="195"/>
      <x:c r="S50" s="195"/>
      <x:c r="T50" s="195"/>
      <x:c r="U50" s="195"/>
      <x:c r="V50" s="195"/>
      <x:c r="W50" s="195"/>
      <x:c r="X50" s="195"/>
      <x:c r="Y50" s="195"/>
      <x:c r="Z50" s="195"/>
    </x:row>
    <x:row r="51">
      <x:c r="A51" s="195"/>
      <x:c r="B51" s="195"/>
      <x:c r="C51" s="195"/>
      <x:c r="D51" s="195"/>
      <x:c r="E51" s="195"/>
      <x:c r="F51" s="195"/>
      <x:c r="G51" s="195"/>
      <x:c r="H51" s="195"/>
      <x:c r="I51" s="195"/>
      <x:c r="J51" s="195"/>
      <x:c r="K51" s="195"/>
      <x:c r="L51" s="195"/>
      <x:c r="M51" s="195"/>
      <x:c r="N51" s="195"/>
      <x:c r="O51" s="195"/>
      <x:c r="P51" s="195"/>
      <x:c r="Q51" s="195"/>
      <x:c r="R51" s="195"/>
      <x:c r="S51" s="195"/>
      <x:c r="T51" s="195"/>
      <x:c r="U51" s="195"/>
      <x:c r="V51" s="195"/>
      <x:c r="W51" s="195"/>
      <x:c r="X51" s="195"/>
      <x:c r="Y51" s="195"/>
      <x:c r="Z51" s="195"/>
    </x:row>
    <x:row r="52">
      <x:c r="A52" s="195"/>
      <x:c r="B52" s="195"/>
      <x:c r="C52" s="195"/>
      <x:c r="D52" s="195"/>
      <x:c r="E52" s="195"/>
      <x:c r="F52" s="195"/>
      <x:c r="G52" s="195"/>
      <x:c r="H52" s="195"/>
      <x:c r="I52" s="195"/>
      <x:c r="J52" s="195"/>
      <x:c r="K52" s="195"/>
      <x:c r="L52" s="195"/>
      <x:c r="M52" s="195"/>
      <x:c r="N52" s="195"/>
      <x:c r="O52" s="195"/>
      <x:c r="P52" s="195"/>
      <x:c r="Q52" s="195"/>
      <x:c r="R52" s="195"/>
      <x:c r="S52" s="195"/>
      <x:c r="T52" s="195"/>
      <x:c r="U52" s="195"/>
      <x:c r="V52" s="195"/>
      <x:c r="W52" s="195"/>
      <x:c r="X52" s="195"/>
      <x:c r="Y52" s="195"/>
      <x:c r="Z52" s="195"/>
    </x:row>
    <x:row r="53">
      <x:c r="A53" s="195"/>
      <x:c r="B53" s="195"/>
      <x:c r="C53" s="195"/>
      <x:c r="D53" s="195"/>
      <x:c r="E53" s="195"/>
      <x:c r="F53" s="195"/>
      <x:c r="G53" s="195"/>
      <x:c r="H53" s="195"/>
      <x:c r="I53" s="195"/>
      <x:c r="J53" s="195"/>
      <x:c r="K53" s="195"/>
      <x:c r="L53" s="195"/>
      <x:c r="M53" s="195"/>
      <x:c r="N53" s="195"/>
      <x:c r="O53" s="195"/>
      <x:c r="P53" s="195"/>
      <x:c r="Q53" s="195"/>
      <x:c r="R53" s="195"/>
      <x:c r="S53" s="195"/>
      <x:c r="T53" s="195"/>
      <x:c r="U53" s="195"/>
      <x:c r="V53" s="195"/>
      <x:c r="W53" s="195"/>
      <x:c r="X53" s="195"/>
      <x:c r="Y53" s="195"/>
      <x:c r="Z53" s="195"/>
    </x:row>
    <x:row r="54">
      <x:c r="A54" s="195"/>
      <x:c r="B54" s="195"/>
      <x:c r="C54" s="195"/>
      <x:c r="D54" s="195"/>
      <x:c r="E54" s="195"/>
      <x:c r="F54" s="195"/>
      <x:c r="G54" s="195"/>
      <x:c r="H54" s="195"/>
      <x:c r="I54" s="195"/>
      <x:c r="J54" s="195"/>
      <x:c r="K54" s="195"/>
      <x:c r="L54" s="195"/>
      <x:c r="M54" s="195"/>
      <x:c r="N54" s="195"/>
      <x:c r="O54" s="195"/>
      <x:c r="P54" s="195"/>
      <x:c r="Q54" s="195"/>
      <x:c r="R54" s="195"/>
      <x:c r="S54" s="195"/>
      <x:c r="T54" s="195"/>
      <x:c r="U54" s="195"/>
      <x:c r="V54" s="195"/>
      <x:c r="W54" s="195"/>
      <x:c r="X54" s="195"/>
      <x:c r="Y54" s="195"/>
      <x:c r="Z54" s="195"/>
    </x:row>
    <x:row r="55">
      <x:c r="A55" s="195"/>
      <x:c r="B55" s="195"/>
      <x:c r="C55" s="195"/>
      <x:c r="D55" s="195"/>
      <x:c r="E55" s="195"/>
      <x:c r="F55" s="195"/>
      <x:c r="G55" s="195"/>
      <x:c r="H55" s="195"/>
      <x:c r="I55" s="195"/>
      <x:c r="J55" s="195"/>
      <x:c r="K55" s="195"/>
      <x:c r="L55" s="195"/>
      <x:c r="M55" s="195"/>
      <x:c r="N55" s="195"/>
      <x:c r="O55" s="195"/>
      <x:c r="P55" s="195"/>
      <x:c r="Q55" s="195"/>
      <x:c r="R55" s="195"/>
      <x:c r="S55" s="195"/>
      <x:c r="T55" s="195"/>
      <x:c r="U55" s="195"/>
      <x:c r="V55" s="195"/>
      <x:c r="W55" s="195"/>
      <x:c r="X55" s="195"/>
      <x:c r="Y55" s="195"/>
      <x:c r="Z55" s="195"/>
    </x:row>
    <x:row r="56">
      <x:c r="A56" s="195"/>
      <x:c r="B56" s="195"/>
      <x:c r="C56" s="195"/>
      <x:c r="D56" s="195"/>
      <x:c r="E56" s="195"/>
      <x:c r="F56" s="195"/>
      <x:c r="G56" s="195"/>
      <x:c r="H56" s="195"/>
      <x:c r="I56" s="195"/>
      <x:c r="J56" s="195"/>
      <x:c r="K56" s="195"/>
      <x:c r="L56" s="195"/>
      <x:c r="M56" s="195"/>
      <x:c r="N56" s="195"/>
      <x:c r="O56" s="195"/>
      <x:c r="P56" s="195"/>
      <x:c r="Q56" s="195"/>
      <x:c r="R56" s="195"/>
      <x:c r="S56" s="195"/>
      <x:c r="T56" s="195"/>
      <x:c r="U56" s="195"/>
      <x:c r="V56" s="195"/>
      <x:c r="W56" s="195"/>
      <x:c r="X56" s="195"/>
      <x:c r="Y56" s="195"/>
      <x:c r="Z56" s="195"/>
    </x:row>
    <x:row r="57">
      <x:c r="A57" s="195"/>
      <x:c r="B57" s="195"/>
      <x:c r="C57" s="195"/>
      <x:c r="D57" s="195"/>
      <x:c r="E57" s="195"/>
      <x:c r="F57" s="195"/>
      <x:c r="G57" s="195"/>
      <x:c r="H57" s="195"/>
      <x:c r="I57" s="195"/>
      <x:c r="J57" s="195"/>
      <x:c r="K57" s="195"/>
      <x:c r="L57" s="195"/>
      <x:c r="M57" s="195"/>
      <x:c r="N57" s="195"/>
      <x:c r="O57" s="195"/>
      <x:c r="P57" s="195"/>
      <x:c r="Q57" s="195"/>
      <x:c r="R57" s="195"/>
      <x:c r="S57" s="195"/>
      <x:c r="T57" s="195"/>
      <x:c r="U57" s="195"/>
      <x:c r="V57" s="195"/>
      <x:c r="W57" s="195"/>
      <x:c r="X57" s="195"/>
      <x:c r="Y57" s="195"/>
      <x:c r="Z57" s="195"/>
    </x:row>
    <x:row r="58">
      <x:c r="A58" s="195"/>
      <x:c r="B58" s="195"/>
      <x:c r="C58" s="195"/>
      <x:c r="D58" s="195"/>
      <x:c r="E58" s="195"/>
      <x:c r="F58" s="195"/>
      <x:c r="G58" s="195"/>
      <x:c r="H58" s="195"/>
      <x:c r="I58" s="195"/>
      <x:c r="J58" s="195"/>
      <x:c r="K58" s="195"/>
      <x:c r="L58" s="195"/>
      <x:c r="M58" s="195"/>
      <x:c r="N58" s="195"/>
      <x:c r="O58" s="195"/>
      <x:c r="P58" s="195"/>
      <x:c r="Q58" s="195"/>
      <x:c r="R58" s="195"/>
      <x:c r="S58" s="195"/>
      <x:c r="T58" s="195"/>
      <x:c r="U58" s="195"/>
      <x:c r="V58" s="195"/>
      <x:c r="W58" s="195"/>
      <x:c r="X58" s="195"/>
      <x:c r="Y58" s="195"/>
      <x:c r="Z58" s="195"/>
    </x:row>
    <x:row r="59">
      <x:c r="A59" s="195"/>
      <x:c r="B59" s="195"/>
      <x:c r="C59" s="195"/>
      <x:c r="D59" s="195"/>
      <x:c r="E59" s="195"/>
      <x:c r="F59" s="195"/>
      <x:c r="G59" s="195"/>
      <x:c r="H59" s="195"/>
      <x:c r="I59" s="195"/>
      <x:c r="J59" s="195"/>
      <x:c r="K59" s="195"/>
      <x:c r="L59" s="195"/>
      <x:c r="M59" s="195"/>
      <x:c r="N59" s="195"/>
      <x:c r="O59" s="195"/>
      <x:c r="P59" s="195"/>
      <x:c r="Q59" s="195"/>
      <x:c r="R59" s="195"/>
      <x:c r="S59" s="195"/>
      <x:c r="T59" s="195"/>
      <x:c r="U59" s="195"/>
      <x:c r="V59" s="195"/>
      <x:c r="W59" s="195"/>
      <x:c r="X59" s="195"/>
      <x:c r="Y59" s="195"/>
      <x:c r="Z59" s="195"/>
    </x:row>
    <x:row r="60">
      <x:c r="A60" s="195"/>
      <x:c r="B60" s="195"/>
      <x:c r="C60" s="195"/>
      <x:c r="D60" s="195"/>
      <x:c r="E60" s="195"/>
      <x:c r="F60" s="195"/>
      <x:c r="G60" s="195"/>
      <x:c r="H60" s="195"/>
      <x:c r="I60" s="195"/>
      <x:c r="J60" s="195"/>
      <x:c r="K60" s="195"/>
      <x:c r="L60" s="195"/>
      <x:c r="M60" s="195"/>
      <x:c r="N60" s="195"/>
      <x:c r="O60" s="195"/>
      <x:c r="P60" s="195"/>
      <x:c r="Q60" s="195"/>
      <x:c r="R60" s="195"/>
      <x:c r="S60" s="195"/>
      <x:c r="T60" s="195"/>
      <x:c r="U60" s="195"/>
      <x:c r="V60" s="195"/>
      <x:c r="W60" s="195"/>
      <x:c r="X60" s="195"/>
      <x:c r="Y60" s="195"/>
      <x:c r="Z60" s="195"/>
    </x:row>
    <x:row r="61">
      <x:c r="A61" s="195"/>
      <x:c r="B61" s="195"/>
      <x:c r="C61" s="195"/>
      <x:c r="D61" s="195"/>
      <x:c r="E61" s="195"/>
      <x:c r="F61" s="195"/>
      <x:c r="G61" s="195"/>
      <x:c r="H61" s="195"/>
      <x:c r="I61" s="195"/>
      <x:c r="J61" s="195"/>
      <x:c r="K61" s="195"/>
      <x:c r="L61" s="195"/>
      <x:c r="M61" s="195"/>
      <x:c r="N61" s="195"/>
      <x:c r="O61" s="195"/>
      <x:c r="P61" s="195"/>
      <x:c r="Q61" s="195"/>
      <x:c r="R61" s="195"/>
      <x:c r="S61" s="195"/>
      <x:c r="T61" s="195"/>
      <x:c r="U61" s="195"/>
      <x:c r="V61" s="195"/>
      <x:c r="W61" s="195"/>
      <x:c r="X61" s="195"/>
      <x:c r="Y61" s="195"/>
      <x:c r="Z61" s="195"/>
    </x:row>
    <x:row r="62">
      <x:c r="A62" s="195"/>
      <x:c r="B62" s="195"/>
      <x:c r="C62" s="195"/>
      <x:c r="D62" s="195"/>
      <x:c r="E62" s="195"/>
      <x:c r="F62" s="195"/>
      <x:c r="G62" s="195"/>
      <x:c r="H62" s="195"/>
      <x:c r="I62" s="195"/>
      <x:c r="J62" s="195"/>
      <x:c r="K62" s="195"/>
      <x:c r="L62" s="195"/>
      <x:c r="M62" s="195"/>
      <x:c r="N62" s="195"/>
      <x:c r="O62" s="195"/>
      <x:c r="P62" s="195"/>
      <x:c r="Q62" s="195"/>
      <x:c r="R62" s="195"/>
      <x:c r="S62" s="195"/>
      <x:c r="T62" s="195"/>
      <x:c r="U62" s="195"/>
      <x:c r="V62" s="195"/>
      <x:c r="W62" s="195"/>
      <x:c r="X62" s="195"/>
      <x:c r="Y62" s="195"/>
      <x:c r="Z62" s="195"/>
    </x:row>
    <x:row r="63">
      <x:c r="A63" s="195"/>
      <x:c r="B63" s="195"/>
      <x:c r="C63" s="195"/>
      <x:c r="D63" s="195"/>
      <x:c r="E63" s="195"/>
      <x:c r="F63" s="195"/>
      <x:c r="G63" s="195"/>
      <x:c r="H63" s="195"/>
      <x:c r="I63" s="195"/>
      <x:c r="J63" s="195"/>
      <x:c r="K63" s="195"/>
      <x:c r="L63" s="195"/>
      <x:c r="M63" s="195"/>
      <x:c r="N63" s="195"/>
      <x:c r="O63" s="195"/>
      <x:c r="P63" s="195"/>
      <x:c r="Q63" s="195"/>
      <x:c r="R63" s="195"/>
      <x:c r="S63" s="195"/>
      <x:c r="T63" s="195"/>
      <x:c r="U63" s="195"/>
      <x:c r="V63" s="195"/>
      <x:c r="W63" s="195"/>
      <x:c r="X63" s="195"/>
      <x:c r="Y63" s="195"/>
      <x:c r="Z63" s="195"/>
    </x:row>
    <x:row r="64">
      <x:c r="A64" s="195"/>
      <x:c r="B64" s="195"/>
      <x:c r="C64" s="195"/>
      <x:c r="D64" s="195"/>
      <x:c r="E64" s="195"/>
      <x:c r="F64" s="195"/>
      <x:c r="G64" s="195"/>
      <x:c r="H64" s="195"/>
      <x:c r="I64" s="195"/>
      <x:c r="J64" s="195"/>
      <x:c r="K64" s="195"/>
      <x:c r="L64" s="195"/>
      <x:c r="M64" s="195"/>
      <x:c r="N64" s="195"/>
      <x:c r="O64" s="195"/>
      <x:c r="P64" s="195"/>
      <x:c r="Q64" s="195"/>
      <x:c r="R64" s="195"/>
      <x:c r="S64" s="195"/>
      <x:c r="T64" s="195"/>
      <x:c r="U64" s="195"/>
      <x:c r="V64" s="195"/>
      <x:c r="W64" s="195"/>
      <x:c r="X64" s="195"/>
      <x:c r="Y64" s="195"/>
      <x:c r="Z64" s="195"/>
    </x:row>
    <x:row r="65">
      <x:c r="A65" s="195"/>
      <x:c r="B65" s="195"/>
      <x:c r="C65" s="195"/>
      <x:c r="D65" s="195"/>
      <x:c r="E65" s="195"/>
      <x:c r="F65" s="195"/>
      <x:c r="G65" s="195"/>
      <x:c r="H65" s="195"/>
      <x:c r="I65" s="195"/>
      <x:c r="J65" s="195"/>
      <x:c r="K65" s="195"/>
      <x:c r="L65" s="195"/>
      <x:c r="M65" s="195"/>
      <x:c r="N65" s="195"/>
      <x:c r="O65" s="195"/>
      <x:c r="P65" s="195"/>
      <x:c r="Q65" s="195"/>
      <x:c r="R65" s="195"/>
      <x:c r="S65" s="195"/>
      <x:c r="T65" s="195"/>
      <x:c r="U65" s="195"/>
      <x:c r="V65" s="195"/>
      <x:c r="W65" s="195"/>
      <x:c r="X65" s="195"/>
      <x:c r="Y65" s="195"/>
      <x:c r="Z65" s="195"/>
    </x:row>
    <x:row r="66">
      <x:c r="A66" s="195"/>
      <x:c r="B66" s="195"/>
      <x:c r="C66" s="195"/>
      <x:c r="D66" s="195"/>
      <x:c r="E66" s="195"/>
      <x:c r="F66" s="195"/>
      <x:c r="G66" s="195"/>
      <x:c r="H66" s="195"/>
      <x:c r="I66" s="195"/>
      <x:c r="J66" s="195"/>
      <x:c r="K66" s="195"/>
      <x:c r="L66" s="195"/>
      <x:c r="M66" s="195"/>
      <x:c r="N66" s="195"/>
      <x:c r="O66" s="195"/>
      <x:c r="P66" s="195"/>
      <x:c r="Q66" s="195"/>
      <x:c r="R66" s="195"/>
      <x:c r="S66" s="195"/>
      <x:c r="T66" s="195"/>
      <x:c r="U66" s="195"/>
      <x:c r="V66" s="195"/>
      <x:c r="W66" s="195"/>
      <x:c r="X66" s="195"/>
      <x:c r="Y66" s="195"/>
      <x:c r="Z66" s="195"/>
    </x:row>
    <x:row r="67">
      <x:c r="A67" s="195"/>
      <x:c r="B67" s="195"/>
      <x:c r="C67" s="195"/>
      <x:c r="D67" s="195"/>
      <x:c r="E67" s="195"/>
      <x:c r="F67" s="195"/>
      <x:c r="G67" s="195"/>
      <x:c r="H67" s="195"/>
      <x:c r="I67" s="195"/>
      <x:c r="J67" s="195"/>
      <x:c r="K67" s="195"/>
      <x:c r="L67" s="195"/>
      <x:c r="M67" s="195"/>
      <x:c r="N67" s="195"/>
      <x:c r="O67" s="195"/>
      <x:c r="P67" s="195"/>
      <x:c r="Q67" s="195"/>
      <x:c r="R67" s="195"/>
      <x:c r="S67" s="195"/>
      <x:c r="T67" s="195"/>
      <x:c r="U67" s="195"/>
      <x:c r="V67" s="195"/>
      <x:c r="W67" s="195"/>
      <x:c r="X67" s="195"/>
      <x:c r="Y67" s="195"/>
      <x:c r="Z67" s="195"/>
    </x:row>
    <x:row r="68">
      <x:c r="A68" s="195"/>
      <x:c r="B68" s="195"/>
      <x:c r="C68" s="195"/>
      <x:c r="D68" s="195"/>
      <x:c r="E68" s="195"/>
      <x:c r="F68" s="195"/>
      <x:c r="G68" s="195"/>
      <x:c r="H68" s="195"/>
      <x:c r="I68" s="195"/>
      <x:c r="J68" s="195"/>
      <x:c r="K68" s="195"/>
      <x:c r="L68" s="195"/>
      <x:c r="M68" s="195"/>
      <x:c r="N68" s="195"/>
      <x:c r="O68" s="195"/>
      <x:c r="P68" s="195"/>
      <x:c r="Q68" s="195"/>
      <x:c r="R68" s="195"/>
      <x:c r="S68" s="195"/>
      <x:c r="T68" s="195"/>
      <x:c r="U68" s="195"/>
      <x:c r="V68" s="195"/>
      <x:c r="W68" s="195"/>
      <x:c r="X68" s="195"/>
      <x:c r="Y68" s="195"/>
      <x:c r="Z68" s="195"/>
    </x:row>
    <x:row r="69">
      <x:c r="A69" s="195"/>
      <x:c r="B69" s="195"/>
      <x:c r="C69" s="195"/>
      <x:c r="D69" s="195"/>
      <x:c r="E69" s="195"/>
      <x:c r="F69" s="195"/>
      <x:c r="G69" s="195"/>
      <x:c r="H69" s="195"/>
      <x:c r="I69" s="195"/>
      <x:c r="J69" s="195"/>
      <x:c r="K69" s="195"/>
      <x:c r="L69" s="195"/>
      <x:c r="M69" s="195"/>
      <x:c r="N69" s="195"/>
      <x:c r="O69" s="195"/>
      <x:c r="P69" s="195"/>
      <x:c r="Q69" s="195"/>
      <x:c r="R69" s="195"/>
      <x:c r="S69" s="195"/>
      <x:c r="T69" s="195"/>
      <x:c r="U69" s="195"/>
      <x:c r="V69" s="195"/>
      <x:c r="W69" s="195"/>
      <x:c r="X69" s="195"/>
      <x:c r="Y69" s="195"/>
      <x:c r="Z69" s="195"/>
    </x:row>
    <x:row r="70">
      <x:c r="A70" s="195"/>
      <x:c r="B70" s="195"/>
      <x:c r="C70" s="195"/>
      <x:c r="D70" s="195"/>
      <x:c r="E70" s="195"/>
      <x:c r="F70" s="195"/>
      <x:c r="G70" s="195"/>
      <x:c r="H70" s="195"/>
      <x:c r="I70" s="195"/>
      <x:c r="J70" s="195"/>
      <x:c r="K70" s="195"/>
      <x:c r="L70" s="195"/>
      <x:c r="M70" s="195"/>
      <x:c r="N70" s="195"/>
      <x:c r="O70" s="195"/>
      <x:c r="P70" s="195"/>
      <x:c r="Q70" s="195"/>
      <x:c r="R70" s="195"/>
      <x:c r="S70" s="195"/>
      <x:c r="T70" s="195"/>
      <x:c r="U70" s="195"/>
      <x:c r="V70" s="195"/>
      <x:c r="W70" s="195"/>
      <x:c r="X70" s="195"/>
      <x:c r="Y70" s="195"/>
      <x:c r="Z70" s="195"/>
    </x:row>
    <x:row r="71">
      <x:c r="A71" s="195"/>
      <x:c r="B71" s="195"/>
      <x:c r="C71" s="195"/>
      <x:c r="D71" s="195"/>
      <x:c r="E71" s="195"/>
      <x:c r="F71" s="195"/>
      <x:c r="G71" s="195"/>
      <x:c r="H71" s="195"/>
      <x:c r="I71" s="195"/>
      <x:c r="J71" s="195"/>
      <x:c r="K71" s="195"/>
      <x:c r="L71" s="195"/>
      <x:c r="M71" s="195"/>
      <x:c r="N71" s="195"/>
      <x:c r="O71" s="195"/>
      <x:c r="P71" s="195"/>
      <x:c r="Q71" s="195"/>
      <x:c r="R71" s="195"/>
      <x:c r="S71" s="195"/>
      <x:c r="T71" s="195"/>
      <x:c r="U71" s="195"/>
      <x:c r="V71" s="195"/>
      <x:c r="W71" s="195"/>
      <x:c r="X71" s="195"/>
      <x:c r="Y71" s="195"/>
      <x:c r="Z71" s="195"/>
    </x:row>
    <x:row r="72">
      <x:c r="A72" s="195"/>
      <x:c r="B72" s="195"/>
      <x:c r="C72" s="195"/>
      <x:c r="D72" s="195"/>
      <x:c r="E72" s="195"/>
      <x:c r="F72" s="195"/>
      <x:c r="G72" s="195"/>
      <x:c r="H72" s="195"/>
      <x:c r="I72" s="195"/>
      <x:c r="J72" s="195"/>
      <x:c r="K72" s="195"/>
      <x:c r="L72" s="195"/>
      <x:c r="M72" s="195"/>
      <x:c r="N72" s="195"/>
      <x:c r="O72" s="195"/>
      <x:c r="P72" s="195"/>
      <x:c r="Q72" s="195"/>
      <x:c r="R72" s="195"/>
      <x:c r="S72" s="195"/>
      <x:c r="T72" s="195"/>
      <x:c r="U72" s="195"/>
      <x:c r="V72" s="195"/>
      <x:c r="W72" s="195"/>
      <x:c r="X72" s="195"/>
      <x:c r="Y72" s="195"/>
      <x:c r="Z72" s="195"/>
    </x:row>
    <x:row r="73">
      <x:c r="A73" s="195"/>
      <x:c r="B73" s="195"/>
      <x:c r="C73" s="195"/>
      <x:c r="D73" s="195"/>
      <x:c r="E73" s="195"/>
      <x:c r="F73" s="195"/>
      <x:c r="G73" s="195"/>
      <x:c r="H73" s="195"/>
      <x:c r="I73" s="195"/>
      <x:c r="J73" s="195"/>
      <x:c r="K73" s="195"/>
      <x:c r="L73" s="195"/>
      <x:c r="M73" s="195"/>
      <x:c r="N73" s="195"/>
      <x:c r="O73" s="195"/>
      <x:c r="P73" s="195"/>
      <x:c r="Q73" s="195"/>
      <x:c r="R73" s="195"/>
      <x:c r="S73" s="195"/>
      <x:c r="T73" s="195"/>
      <x:c r="U73" s="195"/>
      <x:c r="V73" s="195"/>
      <x:c r="W73" s="195"/>
      <x:c r="X73" s="195"/>
      <x:c r="Y73" s="195"/>
      <x:c r="Z73" s="195"/>
    </x:row>
    <x:row r="74">
      <x:c r="A74" s="195"/>
      <x:c r="B74" s="195"/>
      <x:c r="C74" s="195"/>
      <x:c r="D74" s="195"/>
      <x:c r="E74" s="195"/>
      <x:c r="F74" s="195"/>
      <x:c r="G74" s="195"/>
      <x:c r="H74" s="195"/>
      <x:c r="I74" s="195"/>
      <x:c r="J74" s="195"/>
      <x:c r="K74" s="195"/>
      <x:c r="L74" s="195"/>
      <x:c r="M74" s="195"/>
      <x:c r="N74" s="195"/>
      <x:c r="O74" s="195"/>
      <x:c r="P74" s="195"/>
      <x:c r="Q74" s="195"/>
      <x:c r="R74" s="195"/>
      <x:c r="S74" s="195"/>
      <x:c r="T74" s="195"/>
      <x:c r="U74" s="195"/>
      <x:c r="V74" s="195"/>
      <x:c r="W74" s="195"/>
      <x:c r="X74" s="195"/>
      <x:c r="Y74" s="195"/>
      <x:c r="Z74" s="195"/>
    </x:row>
    <x:row r="75">
      <x:c r="A75" s="195"/>
      <x:c r="B75" s="195"/>
      <x:c r="C75" s="195"/>
      <x:c r="D75" s="195"/>
      <x:c r="E75" s="195"/>
      <x:c r="F75" s="195"/>
      <x:c r="G75" s="195"/>
      <x:c r="H75" s="195"/>
      <x:c r="I75" s="195"/>
      <x:c r="J75" s="195"/>
      <x:c r="K75" s="195"/>
      <x:c r="L75" s="195"/>
      <x:c r="M75" s="195"/>
      <x:c r="N75" s="195"/>
      <x:c r="O75" s="195"/>
      <x:c r="P75" s="195"/>
      <x:c r="Q75" s="195"/>
      <x:c r="R75" s="195"/>
      <x:c r="S75" s="195"/>
      <x:c r="T75" s="195"/>
      <x:c r="U75" s="195"/>
      <x:c r="V75" s="195"/>
      <x:c r="W75" s="195"/>
      <x:c r="X75" s="195"/>
      <x:c r="Y75" s="195"/>
      <x:c r="Z75" s="195"/>
    </x:row>
    <x:row r="76">
      <x:c r="A76" s="195"/>
      <x:c r="B76" s="195"/>
      <x:c r="C76" s="195"/>
      <x:c r="D76" s="195"/>
      <x:c r="E76" s="195"/>
      <x:c r="F76" s="195"/>
      <x:c r="G76" s="195"/>
      <x:c r="H76" s="195"/>
      <x:c r="I76" s="195"/>
      <x:c r="J76" s="195"/>
      <x:c r="K76" s="195"/>
      <x:c r="L76" s="195"/>
      <x:c r="M76" s="195"/>
      <x:c r="N76" s="195"/>
      <x:c r="O76" s="195"/>
      <x:c r="P76" s="195"/>
      <x:c r="Q76" s="195"/>
      <x:c r="R76" s="195"/>
      <x:c r="S76" s="195"/>
      <x:c r="T76" s="195"/>
      <x:c r="U76" s="195"/>
      <x:c r="V76" s="195"/>
      <x:c r="W76" s="195"/>
      <x:c r="X76" s="195"/>
      <x:c r="Y76" s="195"/>
      <x:c r="Z76" s="195"/>
    </x:row>
    <x:row r="77">
      <x:c r="A77" s="195"/>
      <x:c r="B77" s="195"/>
      <x:c r="C77" s="195"/>
      <x:c r="D77" s="195"/>
      <x:c r="E77" s="195"/>
      <x:c r="F77" s="195"/>
      <x:c r="G77" s="195"/>
      <x:c r="H77" s="195"/>
      <x:c r="I77" s="195"/>
      <x:c r="J77" s="195"/>
      <x:c r="K77" s="195"/>
      <x:c r="L77" s="195"/>
      <x:c r="M77" s="195"/>
      <x:c r="N77" s="195"/>
      <x:c r="O77" s="195"/>
      <x:c r="P77" s="195"/>
      <x:c r="Q77" s="195"/>
      <x:c r="R77" s="195"/>
      <x:c r="S77" s="195"/>
      <x:c r="T77" s="195"/>
      <x:c r="U77" s="195"/>
      <x:c r="V77" s="195"/>
      <x:c r="W77" s="195"/>
      <x:c r="X77" s="195"/>
      <x:c r="Y77" s="195"/>
      <x:c r="Z77" s="195"/>
    </x:row>
    <x:row r="78">
      <x:c r="A78" s="195"/>
      <x:c r="B78" s="195"/>
      <x:c r="C78" s="195"/>
      <x:c r="D78" s="195"/>
      <x:c r="E78" s="195"/>
      <x:c r="F78" s="195"/>
      <x:c r="G78" s="195"/>
      <x:c r="H78" s="195"/>
      <x:c r="I78" s="195"/>
      <x:c r="J78" s="195"/>
      <x:c r="K78" s="195"/>
      <x:c r="L78" s="195"/>
      <x:c r="M78" s="195"/>
      <x:c r="N78" s="195"/>
      <x:c r="O78" s="195"/>
      <x:c r="P78" s="195"/>
      <x:c r="Q78" s="195"/>
      <x:c r="R78" s="195"/>
      <x:c r="S78" s="195"/>
      <x:c r="T78" s="195"/>
      <x:c r="U78" s="195"/>
      <x:c r="V78" s="195"/>
      <x:c r="W78" s="195"/>
      <x:c r="X78" s="195"/>
      <x:c r="Y78" s="195"/>
      <x:c r="Z78" s="195"/>
    </x:row>
    <x:row r="79">
      <x:c r="A79" s="195"/>
      <x:c r="B79" s="195"/>
      <x:c r="C79" s="195"/>
      <x:c r="D79" s="195"/>
      <x:c r="E79" s="195"/>
      <x:c r="F79" s="195"/>
      <x:c r="G79" s="195"/>
      <x:c r="H79" s="195"/>
      <x:c r="I79" s="195"/>
      <x:c r="J79" s="195"/>
      <x:c r="K79" s="195"/>
      <x:c r="L79" s="195"/>
      <x:c r="M79" s="195"/>
      <x:c r="N79" s="195"/>
      <x:c r="O79" s="195"/>
      <x:c r="P79" s="195"/>
      <x:c r="Q79" s="195"/>
      <x:c r="R79" s="195"/>
      <x:c r="S79" s="195"/>
      <x:c r="T79" s="195"/>
      <x:c r="U79" s="195"/>
      <x:c r="V79" s="195"/>
      <x:c r="W79" s="195"/>
      <x:c r="X79" s="195"/>
      <x:c r="Y79" s="195"/>
      <x:c r="Z79" s="195"/>
    </x:row>
    <x:row r="80">
      <x:c r="A80" s="195"/>
      <x:c r="B80" s="195"/>
      <x:c r="C80" s="195"/>
      <x:c r="D80" s="195"/>
      <x:c r="E80" s="195"/>
      <x:c r="F80" s="195"/>
      <x:c r="G80" s="195"/>
      <x:c r="H80" s="195"/>
      <x:c r="I80" s="195"/>
      <x:c r="J80" s="195"/>
      <x:c r="K80" s="195"/>
      <x:c r="L80" s="195"/>
      <x:c r="M80" s="195"/>
      <x:c r="N80" s="195"/>
      <x:c r="O80" s="195"/>
      <x:c r="P80" s="195"/>
      <x:c r="Q80" s="195"/>
      <x:c r="R80" s="195"/>
      <x:c r="S80" s="195"/>
      <x:c r="T80" s="195"/>
      <x:c r="U80" s="195"/>
      <x:c r="V80" s="195"/>
      <x:c r="W80" s="195"/>
      <x:c r="X80" s="195"/>
      <x:c r="Y80" s="195"/>
      <x:c r="Z80" s="195"/>
    </x:row>
    <x:row r="81">
      <x:c r="A81" s="195"/>
      <x:c r="B81" s="195"/>
      <x:c r="C81" s="195"/>
      <x:c r="D81" s="195"/>
      <x:c r="E81" s="195"/>
      <x:c r="F81" s="195"/>
      <x:c r="G81" s="195"/>
      <x:c r="H81" s="195"/>
      <x:c r="I81" s="195"/>
      <x:c r="J81" s="195"/>
      <x:c r="K81" s="195"/>
      <x:c r="L81" s="195"/>
      <x:c r="M81" s="195"/>
      <x:c r="N81" s="195"/>
      <x:c r="O81" s="195"/>
      <x:c r="P81" s="195"/>
      <x:c r="Q81" s="195"/>
      <x:c r="R81" s="195"/>
      <x:c r="S81" s="195"/>
      <x:c r="T81" s="195"/>
      <x:c r="U81" s="195"/>
      <x:c r="V81" s="195"/>
      <x:c r="W81" s="195"/>
      <x:c r="X81" s="195"/>
      <x:c r="Y81" s="195"/>
      <x:c r="Z81" s="195"/>
    </x:row>
    <x:row r="82">
      <x:c r="A82" s="195"/>
      <x:c r="B82" s="195"/>
      <x:c r="C82" s="195"/>
      <x:c r="D82" s="195"/>
      <x:c r="E82" s="195"/>
      <x:c r="F82" s="195"/>
      <x:c r="G82" s="195"/>
      <x:c r="H82" s="195"/>
      <x:c r="I82" s="195"/>
      <x:c r="J82" s="195"/>
      <x:c r="K82" s="195"/>
      <x:c r="L82" s="195"/>
      <x:c r="M82" s="195"/>
      <x:c r="N82" s="195"/>
      <x:c r="O82" s="195"/>
      <x:c r="P82" s="195"/>
      <x:c r="Q82" s="195"/>
      <x:c r="R82" s="195"/>
      <x:c r="S82" s="195"/>
      <x:c r="T82" s="195"/>
      <x:c r="U82" s="195"/>
      <x:c r="V82" s="195"/>
      <x:c r="W82" s="195"/>
      <x:c r="X82" s="195"/>
      <x:c r="Y82" s="195"/>
      <x:c r="Z82" s="195"/>
    </x:row>
    <x:row r="83">
      <x:c r="A83" s="195"/>
      <x:c r="B83" s="195"/>
      <x:c r="C83" s="195"/>
      <x:c r="D83" s="195"/>
      <x:c r="E83" s="195"/>
      <x:c r="F83" s="195"/>
      <x:c r="G83" s="195"/>
      <x:c r="H83" s="195"/>
      <x:c r="I83" s="195"/>
      <x:c r="J83" s="195"/>
      <x:c r="K83" s="195"/>
      <x:c r="L83" s="195"/>
      <x:c r="M83" s="195"/>
      <x:c r="N83" s="195"/>
      <x:c r="O83" s="195"/>
      <x:c r="P83" s="195"/>
      <x:c r="Q83" s="195"/>
      <x:c r="R83" s="195"/>
      <x:c r="S83" s="195"/>
      <x:c r="T83" s="195"/>
      <x:c r="U83" s="195"/>
      <x:c r="V83" s="195"/>
      <x:c r="W83" s="195"/>
      <x:c r="X83" s="195"/>
      <x:c r="Y83" s="195"/>
      <x:c r="Z83" s="195"/>
    </x:row>
    <x:row r="84">
      <x:c r="A84" s="195"/>
      <x:c r="B84" s="195"/>
      <x:c r="C84" s="195"/>
      <x:c r="D84" s="195"/>
      <x:c r="E84" s="195"/>
      <x:c r="F84" s="195"/>
      <x:c r="G84" s="195"/>
      <x:c r="H84" s="195"/>
      <x:c r="I84" s="195"/>
      <x:c r="J84" s="195"/>
      <x:c r="K84" s="195"/>
      <x:c r="L84" s="195"/>
      <x:c r="M84" s="195"/>
      <x:c r="N84" s="195"/>
      <x:c r="O84" s="195"/>
      <x:c r="P84" s="195"/>
      <x:c r="Q84" s="195"/>
      <x:c r="R84" s="195"/>
      <x:c r="S84" s="195"/>
      <x:c r="T84" s="195"/>
      <x:c r="U84" s="195"/>
      <x:c r="V84" s="195"/>
      <x:c r="W84" s="195"/>
      <x:c r="X84" s="195"/>
      <x:c r="Y84" s="195"/>
      <x:c r="Z84" s="195"/>
    </x:row>
    <x:row r="85">
      <x:c r="A85" s="195"/>
      <x:c r="B85" s="195"/>
      <x:c r="C85" s="195"/>
      <x:c r="D85" s="195"/>
      <x:c r="E85" s="195"/>
      <x:c r="F85" s="195"/>
      <x:c r="G85" s="195"/>
      <x:c r="H85" s="195"/>
      <x:c r="I85" s="195"/>
      <x:c r="J85" s="195"/>
      <x:c r="K85" s="195"/>
      <x:c r="L85" s="195"/>
      <x:c r="M85" s="195"/>
      <x:c r="N85" s="195"/>
      <x:c r="O85" s="195"/>
      <x:c r="P85" s="195"/>
      <x:c r="Q85" s="195"/>
      <x:c r="R85" s="195"/>
      <x:c r="S85" s="195"/>
      <x:c r="T85" s="195"/>
      <x:c r="U85" s="195"/>
      <x:c r="V85" s="195"/>
      <x:c r="W85" s="195"/>
      <x:c r="X85" s="195"/>
      <x:c r="Y85" s="195"/>
      <x:c r="Z85" s="195"/>
    </x:row>
    <x:row r="86">
      <x:c r="A86" s="195"/>
      <x:c r="B86" s="195"/>
      <x:c r="C86" s="195"/>
      <x:c r="D86" s="195"/>
      <x:c r="E86" s="195"/>
      <x:c r="F86" s="195"/>
      <x:c r="G86" s="195"/>
      <x:c r="H86" s="195"/>
      <x:c r="I86" s="195"/>
      <x:c r="J86" s="195"/>
      <x:c r="K86" s="195"/>
      <x:c r="L86" s="195"/>
      <x:c r="M86" s="195"/>
      <x:c r="N86" s="195"/>
      <x:c r="O86" s="195"/>
      <x:c r="P86" s="195"/>
      <x:c r="Q86" s="195"/>
      <x:c r="R86" s="195"/>
      <x:c r="S86" s="195"/>
      <x:c r="T86" s="195"/>
      <x:c r="U86" s="195"/>
      <x:c r="V86" s="195"/>
      <x:c r="W86" s="195"/>
      <x:c r="X86" s="195"/>
      <x:c r="Y86" s="195"/>
      <x:c r="Z86" s="195"/>
    </x:row>
    <x:row r="87">
      <x:c r="A87" s="195"/>
      <x:c r="B87" s="195"/>
      <x:c r="C87" s="195"/>
      <x:c r="D87" s="195"/>
      <x:c r="E87" s="195"/>
      <x:c r="F87" s="195"/>
      <x:c r="G87" s="195"/>
      <x:c r="H87" s="195"/>
      <x:c r="I87" s="195"/>
      <x:c r="J87" s="195"/>
      <x:c r="K87" s="195"/>
      <x:c r="L87" s="195"/>
      <x:c r="M87" s="195"/>
      <x:c r="N87" s="195"/>
      <x:c r="O87" s="195"/>
      <x:c r="P87" s="195"/>
      <x:c r="Q87" s="195"/>
      <x:c r="R87" s="195"/>
      <x:c r="S87" s="195"/>
      <x:c r="T87" s="195"/>
      <x:c r="U87" s="195"/>
      <x:c r="V87" s="195"/>
      <x:c r="W87" s="195"/>
      <x:c r="X87" s="195"/>
      <x:c r="Y87" s="195"/>
      <x:c r="Z87" s="195"/>
    </x:row>
    <x:row r="88">
      <x:c r="A88" s="195"/>
      <x:c r="B88" s="195"/>
      <x:c r="C88" s="195"/>
      <x:c r="D88" s="195"/>
      <x:c r="E88" s="195"/>
      <x:c r="F88" s="195"/>
      <x:c r="G88" s="195"/>
      <x:c r="H88" s="195"/>
      <x:c r="I88" s="195"/>
      <x:c r="J88" s="195"/>
      <x:c r="K88" s="195"/>
      <x:c r="L88" s="195"/>
      <x:c r="M88" s="195"/>
      <x:c r="N88" s="195"/>
      <x:c r="O88" s="195"/>
      <x:c r="P88" s="195"/>
      <x:c r="Q88" s="195"/>
      <x:c r="R88" s="195"/>
      <x:c r="S88" s="195"/>
      <x:c r="T88" s="195"/>
      <x:c r="U88" s="195"/>
      <x:c r="V88" s="195"/>
      <x:c r="W88" s="195"/>
      <x:c r="X88" s="195"/>
      <x:c r="Y88" s="195"/>
      <x:c r="Z88" s="195"/>
    </x:row>
    <x:row r="89">
      <x:c r="A89" s="195"/>
      <x:c r="B89" s="195"/>
      <x:c r="C89" s="195"/>
      <x:c r="D89" s="195"/>
      <x:c r="E89" s="195"/>
      <x:c r="F89" s="195"/>
      <x:c r="G89" s="195"/>
      <x:c r="H89" s="195"/>
      <x:c r="I89" s="195"/>
      <x:c r="J89" s="195"/>
      <x:c r="K89" s="195"/>
      <x:c r="L89" s="195"/>
      <x:c r="M89" s="195"/>
      <x:c r="N89" s="195"/>
      <x:c r="O89" s="195"/>
      <x:c r="P89" s="195"/>
      <x:c r="Q89" s="195"/>
      <x:c r="R89" s="195"/>
      <x:c r="S89" s="195"/>
      <x:c r="T89" s="195"/>
      <x:c r="U89" s="195"/>
      <x:c r="V89" s="195"/>
      <x:c r="W89" s="195"/>
      <x:c r="X89" s="195"/>
      <x:c r="Y89" s="195"/>
      <x:c r="Z89" s="195"/>
    </x:row>
    <x:row r="90">
      <x:c r="A90" s="195"/>
      <x:c r="B90" s="195"/>
      <x:c r="C90" s="195"/>
      <x:c r="D90" s="195"/>
      <x:c r="E90" s="195"/>
      <x:c r="F90" s="195"/>
      <x:c r="G90" s="195"/>
      <x:c r="H90" s="195"/>
      <x:c r="I90" s="195"/>
      <x:c r="J90" s="195"/>
      <x:c r="K90" s="195"/>
      <x:c r="L90" s="195"/>
      <x:c r="M90" s="195"/>
      <x:c r="N90" s="195"/>
      <x:c r="O90" s="195"/>
      <x:c r="P90" s="195"/>
      <x:c r="Q90" s="195"/>
      <x:c r="R90" s="195"/>
      <x:c r="S90" s="195"/>
      <x:c r="T90" s="195"/>
      <x:c r="U90" s="195"/>
      <x:c r="V90" s="195"/>
      <x:c r="W90" s="195"/>
      <x:c r="X90" s="195"/>
      <x:c r="Y90" s="195"/>
      <x:c r="Z90" s="195"/>
    </x:row>
    <x:row r="91">
      <x:c r="A91" s="195"/>
      <x:c r="B91" s="195"/>
      <x:c r="C91" s="195"/>
      <x:c r="D91" s="195"/>
      <x:c r="E91" s="195"/>
      <x:c r="F91" s="195"/>
      <x:c r="G91" s="195"/>
      <x:c r="H91" s="195"/>
      <x:c r="I91" s="195"/>
      <x:c r="J91" s="195"/>
      <x:c r="K91" s="195"/>
      <x:c r="L91" s="195"/>
      <x:c r="M91" s="195"/>
      <x:c r="N91" s="195"/>
      <x:c r="O91" s="195"/>
      <x:c r="P91" s="195"/>
      <x:c r="Q91" s="195"/>
      <x:c r="R91" s="195"/>
      <x:c r="S91" s="195"/>
      <x:c r="T91" s="195"/>
      <x:c r="U91" s="195"/>
      <x:c r="V91" s="195"/>
      <x:c r="W91" s="195"/>
      <x:c r="X91" s="195"/>
      <x:c r="Y91" s="195"/>
      <x:c r="Z91" s="195"/>
    </x:row>
    <x:row r="92">
      <x:c r="A92" s="195"/>
      <x:c r="B92" s="195"/>
      <x:c r="C92" s="195"/>
      <x:c r="D92" s="195"/>
      <x:c r="E92" s="195"/>
      <x:c r="F92" s="195"/>
      <x:c r="G92" s="195"/>
      <x:c r="H92" s="195"/>
      <x:c r="I92" s="195"/>
      <x:c r="J92" s="195"/>
      <x:c r="K92" s="195"/>
      <x:c r="L92" s="195"/>
      <x:c r="M92" s="195"/>
      <x:c r="N92" s="195"/>
      <x:c r="O92" s="195"/>
      <x:c r="P92" s="195"/>
      <x:c r="Q92" s="195"/>
      <x:c r="R92" s="195"/>
      <x:c r="S92" s="195"/>
      <x:c r="T92" s="195"/>
      <x:c r="U92" s="195"/>
      <x:c r="V92" s="195"/>
      <x:c r="W92" s="195"/>
      <x:c r="X92" s="195"/>
      <x:c r="Y92" s="195"/>
      <x:c r="Z92" s="195"/>
    </x:row>
    <x:row r="93">
      <x:c r="A93" s="195"/>
      <x:c r="B93" s="195"/>
      <x:c r="C93" s="195"/>
      <x:c r="D93" s="195"/>
      <x:c r="E93" s="195"/>
      <x:c r="F93" s="195"/>
      <x:c r="G93" s="195"/>
      <x:c r="H93" s="195"/>
      <x:c r="I93" s="195"/>
      <x:c r="J93" s="195"/>
      <x:c r="K93" s="195"/>
      <x:c r="L93" s="195"/>
      <x:c r="M93" s="195"/>
      <x:c r="N93" s="195"/>
      <x:c r="O93" s="195"/>
      <x:c r="P93" s="195"/>
      <x:c r="Q93" s="195"/>
      <x:c r="R93" s="195"/>
      <x:c r="S93" s="195"/>
      <x:c r="T93" s="195"/>
      <x:c r="U93" s="195"/>
      <x:c r="V93" s="195"/>
      <x:c r="W93" s="195"/>
      <x:c r="X93" s="195"/>
      <x:c r="Y93" s="195"/>
      <x:c r="Z93" s="195"/>
    </x:row>
    <x:row r="94">
      <x:c r="A94" s="195"/>
      <x:c r="B94" s="195"/>
      <x:c r="C94" s="195"/>
      <x:c r="D94" s="195"/>
      <x:c r="E94" s="195"/>
      <x:c r="F94" s="195"/>
      <x:c r="G94" s="195"/>
      <x:c r="H94" s="195"/>
      <x:c r="I94" s="195"/>
      <x:c r="J94" s="195"/>
      <x:c r="K94" s="195"/>
      <x:c r="L94" s="195"/>
      <x:c r="M94" s="195"/>
      <x:c r="N94" s="195"/>
      <x:c r="O94" s="195"/>
      <x:c r="P94" s="195"/>
      <x:c r="Q94" s="195"/>
      <x:c r="R94" s="195"/>
      <x:c r="S94" s="195"/>
      <x:c r="T94" s="195"/>
      <x:c r="U94" s="195"/>
      <x:c r="V94" s="195"/>
      <x:c r="W94" s="195"/>
      <x:c r="X94" s="195"/>
      <x:c r="Y94" s="195"/>
      <x:c r="Z94" s="195"/>
    </x:row>
    <x:row r="95">
      <x:c r="A95" s="195"/>
      <x:c r="B95" s="195"/>
      <x:c r="C95" s="195"/>
      <x:c r="D95" s="195"/>
      <x:c r="E95" s="195"/>
      <x:c r="F95" s="195"/>
      <x:c r="G95" s="195"/>
      <x:c r="H95" s="195"/>
      <x:c r="I95" s="195"/>
      <x:c r="J95" s="195"/>
      <x:c r="K95" s="195"/>
      <x:c r="L95" s="195"/>
      <x:c r="M95" s="195"/>
      <x:c r="N95" s="195"/>
      <x:c r="O95" s="195"/>
      <x:c r="P95" s="195"/>
      <x:c r="Q95" s="195"/>
      <x:c r="R95" s="195"/>
      <x:c r="S95" s="195"/>
      <x:c r="T95" s="195"/>
      <x:c r="U95" s="195"/>
      <x:c r="V95" s="195"/>
      <x:c r="W95" s="195"/>
      <x:c r="X95" s="195"/>
      <x:c r="Y95" s="195"/>
      <x:c r="Z95" s="195"/>
    </x:row>
    <x:row r="96">
      <x:c r="A96" s="195"/>
      <x:c r="B96" s="195"/>
      <x:c r="C96" s="195"/>
      <x:c r="D96" s="195"/>
      <x:c r="E96" s="195"/>
      <x:c r="F96" s="195"/>
      <x:c r="G96" s="195"/>
      <x:c r="H96" s="195"/>
      <x:c r="I96" s="195"/>
      <x:c r="J96" s="195"/>
      <x:c r="K96" s="195"/>
      <x:c r="L96" s="195"/>
      <x:c r="M96" s="195"/>
      <x:c r="N96" s="195"/>
      <x:c r="O96" s="195"/>
      <x:c r="P96" s="195"/>
      <x:c r="Q96" s="195"/>
      <x:c r="R96" s="195"/>
      <x:c r="S96" s="195"/>
      <x:c r="T96" s="195"/>
      <x:c r="U96" s="195"/>
      <x:c r="V96" s="195"/>
      <x:c r="W96" s="195"/>
      <x:c r="X96" s="195"/>
      <x:c r="Y96" s="195"/>
      <x:c r="Z96" s="195"/>
    </x:row>
    <x:row r="97">
      <x:c r="A97" s="195"/>
      <x:c r="B97" s="195"/>
      <x:c r="C97" s="195"/>
      <x:c r="D97" s="195"/>
      <x:c r="E97" s="195"/>
      <x:c r="F97" s="195"/>
      <x:c r="G97" s="195"/>
      <x:c r="H97" s="195"/>
      <x:c r="I97" s="195"/>
      <x:c r="J97" s="195"/>
      <x:c r="K97" s="195"/>
      <x:c r="L97" s="195"/>
      <x:c r="M97" s="195"/>
      <x:c r="N97" s="195"/>
      <x:c r="O97" s="195"/>
      <x:c r="P97" s="195"/>
      <x:c r="Q97" s="195"/>
      <x:c r="R97" s="195"/>
      <x:c r="S97" s="195"/>
      <x:c r="T97" s="195"/>
      <x:c r="U97" s="195"/>
      <x:c r="V97" s="195"/>
      <x:c r="W97" s="195"/>
      <x:c r="X97" s="195"/>
      <x:c r="Y97" s="195"/>
      <x:c r="Z97" s="195"/>
    </x:row>
    <x:row r="98">
      <x:c r="A98" s="195"/>
      <x:c r="B98" s="195"/>
      <x:c r="C98" s="195"/>
      <x:c r="D98" s="195"/>
      <x:c r="E98" s="195"/>
      <x:c r="F98" s="195"/>
      <x:c r="G98" s="195"/>
      <x:c r="H98" s="195"/>
      <x:c r="I98" s="195"/>
      <x:c r="J98" s="195"/>
      <x:c r="K98" s="195"/>
      <x:c r="L98" s="195"/>
      <x:c r="M98" s="195"/>
      <x:c r="N98" s="195"/>
      <x:c r="O98" s="195"/>
      <x:c r="P98" s="195"/>
      <x:c r="Q98" s="195"/>
      <x:c r="R98" s="195"/>
      <x:c r="S98" s="195"/>
      <x:c r="T98" s="195"/>
      <x:c r="U98" s="195"/>
      <x:c r="V98" s="195"/>
      <x:c r="W98" s="195"/>
      <x:c r="X98" s="195"/>
      <x:c r="Y98" s="195"/>
      <x:c r="Z98" s="195"/>
    </x:row>
    <x:row r="99">
      <x:c r="A99" s="195"/>
      <x:c r="B99" s="195"/>
      <x:c r="C99" s="195"/>
      <x:c r="D99" s="195"/>
      <x:c r="E99" s="195"/>
      <x:c r="F99" s="195"/>
      <x:c r="G99" s="195"/>
      <x:c r="H99" s="195"/>
      <x:c r="I99" s="195"/>
      <x:c r="J99" s="195"/>
      <x:c r="K99" s="195"/>
      <x:c r="L99" s="195"/>
      <x:c r="M99" s="195"/>
      <x:c r="N99" s="195"/>
      <x:c r="O99" s="195"/>
      <x:c r="P99" s="195"/>
      <x:c r="Q99" s="195"/>
      <x:c r="R99" s="195"/>
      <x:c r="S99" s="195"/>
      <x:c r="T99" s="195"/>
      <x:c r="U99" s="195"/>
      <x:c r="V99" s="195"/>
      <x:c r="W99" s="195"/>
      <x:c r="X99" s="195"/>
      <x:c r="Y99" s="195"/>
      <x:c r="Z99" s="195"/>
    </x:row>
    <x:row r="100">
      <x:c r="A100" s="195"/>
      <x:c r="B100" s="195"/>
      <x:c r="C100" s="195"/>
      <x:c r="D100" s="195"/>
      <x:c r="E100" s="195"/>
      <x:c r="F100" s="195"/>
      <x:c r="G100" s="195"/>
      <x:c r="H100" s="195"/>
      <x:c r="I100" s="195"/>
      <x:c r="J100" s="195"/>
      <x:c r="K100" s="195"/>
      <x:c r="L100" s="195"/>
      <x:c r="M100" s="195"/>
      <x:c r="N100" s="195"/>
      <x:c r="O100" s="195"/>
      <x:c r="P100" s="195"/>
      <x:c r="Q100" s="195"/>
      <x:c r="R100" s="195"/>
      <x:c r="S100" s="195"/>
      <x:c r="T100" s="195"/>
      <x:c r="U100" s="195"/>
      <x:c r="V100" s="195"/>
      <x:c r="W100" s="195"/>
      <x:c r="X100" s="195"/>
      <x:c r="Y100" s="195"/>
      <x:c r="Z100" s="195"/>
    </x:row>
  </x:sheetData>
  <x:mergeCells>
    <x:mergeCell ref="A2:H2"/>
  </x:mergeCells>
  <x:dataValidations count="1">
    <x:dataValidation type="whole" operator="between" sqref="G7">
      <x:formula1>1</x:formula1>
      <x:formula2>5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5B8C8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17" hidden="0" customWidth="1"/>
    <x:col min="3" max="3" width="24" hidden="0" customWidth="1"/>
    <x:col min="4" max="4" width="23" hidden="0" customWidth="1"/>
    <x:col min="5" max="5" width="14" hidden="0" customWidth="1"/>
    <x:col min="6" max="6" width="14" hidden="0" customWidth="1"/>
    <x:col min="7" max="7" width="22" hidden="0" customWidth="1"/>
    <x:col min="8" max="8" width="22" hidden="0" customWidth="1"/>
    <x:col min="9" max="9" width="15" hidden="0" customWidth="1"/>
    <x:col min="10" max="10" width="14" hidden="0" customWidth="1"/>
    <x:col min="11" max="11" width="13" hidden="0" customWidth="1"/>
    <x:col min="12" max="12" width="24" hidden="0" customWidth="1"/>
  </x:cols>
  <x:sheetData>
    <x:row r="1">
      <x:c r="A1" s="195"/>
      <x:c r="B1" s="195"/>
      <x:c r="C1" s="195"/>
      <x:c r="D1" s="195"/>
      <x:c r="E1" s="195"/>
      <x:c r="F1" s="195"/>
      <x:c r="G1" s="195"/>
      <x:c r="H1" s="195"/>
      <x:c r="I1" s="195"/>
      <x:c r="J1" s="195"/>
      <x:c r="K1" s="195"/>
      <x:c r="L1" s="195"/>
      <x:c r="M1" s="195"/>
      <x:c r="N1" s="195"/>
      <x:c r="O1" s="195"/>
      <x:c r="P1" s="195"/>
      <x:c r="Q1" s="195"/>
      <x:c r="R1" s="195"/>
      <x:c r="S1" s="195"/>
      <x:c r="T1" s="195"/>
      <x:c r="U1" s="195"/>
      <x:c r="V1" s="195"/>
      <x:c r="W1" s="195"/>
      <x:c r="X1" s="195"/>
      <x:c r="Y1" s="195"/>
      <x:c r="Z1" s="195"/>
    </x:row>
    <x:row r="2" ht="30" customHeight="1">
      <x:c r="A2" s="4" t="str">
        <x:v>Adequate woningvoorraad per woninggroep</x:v>
      </x:c>
      <x:c r="B2" s="4" t="str">
        <x:v>Adequate woningvoorraad per woninggroep</x:v>
      </x:c>
      <x:c r="C2" s="4" t="str">
        <x:v>Adequate woningvoorraad per woninggroep</x:v>
      </x:c>
      <x:c r="D2" s="4" t="str">
        <x:v>Adequate woningvoorraad per woninggroep</x:v>
      </x:c>
      <x:c r="E2" s="4" t="str">
        <x:v>Adequate woningvoorraad per woninggroep</x:v>
      </x:c>
      <x:c r="F2" s="4" t="str">
        <x:v>Adequate woningvoorraad per woninggroep</x:v>
      </x:c>
      <x:c r="G2" s="4" t="str">
        <x:v>Adequate woningvoorraad per woninggroep</x:v>
      </x:c>
      <x:c r="H2" s="4" t="str">
        <x:v>Adequate woningvoorraad per woninggroep</x:v>
      </x:c>
      <x:c r="I2" s="4" t="str">
        <x:v>Adequate woningvoorraad per woninggroep</x:v>
      </x:c>
      <x:c r="J2" s="4" t="str">
        <x:v>Adequate woningvoorraad per woninggroep</x:v>
      </x:c>
      <x:c r="K2" s="4" t="str">
        <x:v>Adequate woningvoorraad per woninggroep</x:v>
      </x:c>
      <x:c r="L2" s="4" t="str">
        <x:v>Adequate woningvoorraad per woninggroep</x:v>
      </x:c>
      <x:c r="M2" s="195"/>
      <x:c r="N2" s="195"/>
      <x:c r="O2" s="195"/>
      <x:c r="P2" s="195"/>
      <x:c r="Q2" s="195"/>
      <x:c r="R2" s="195"/>
      <x:c r="S2" s="195"/>
      <x:c r="T2" s="195"/>
      <x:c r="U2" s="195"/>
      <x:c r="V2" s="195"/>
      <x:c r="W2" s="195"/>
      <x:c r="X2" s="195"/>
      <x:c r="Y2" s="195"/>
      <x:c r="Z2" s="195"/>
    </x:row>
    <x:row r="3">
      <x:c r="A3" s="195"/>
      <x:c r="B3" s="195"/>
      <x:c r="C3" s="195"/>
      <x:c r="D3" s="195"/>
      <x:c r="E3" s="195"/>
      <x:c r="F3" s="195"/>
      <x:c r="G3" s="195"/>
      <x:c r="H3" s="195"/>
      <x:c r="I3" s="195"/>
      <x:c r="J3" s="195"/>
      <x:c r="K3" s="195"/>
      <x:c r="L3" s="195"/>
      <x:c r="M3" s="195"/>
      <x:c r="N3" s="195"/>
      <x:c r="O3" s="195"/>
      <x:c r="P3" s="195"/>
      <x:c r="Q3" s="195"/>
      <x:c r="R3" s="195"/>
      <x:c r="S3" s="195"/>
      <x:c r="T3" s="195"/>
      <x:c r="U3" s="195"/>
      <x:c r="V3" s="195"/>
      <x:c r="W3" s="195"/>
      <x:c r="X3" s="195"/>
      <x:c r="Y3" s="195"/>
      <x:c r="Z3" s="195"/>
    </x:row>
    <x:row r="4">
      <x:c r="A4" s="211" t="str">
        <x:v>Een woning telt slechts mee wanneer zij beschikbaar, geschikt, betaalbaar én adequaat van kwaliteit, locatie en woonzekerheid is.</x:v>
      </x:c>
      <x:c r="B4" s="211" t="str"/>
      <x:c r="C4" s="211" t="str"/>
      <x:c r="D4" s="211" t="str"/>
      <x:c r="E4" s="211" t="str"/>
      <x:c r="F4" s="211" t="str"/>
      <x:c r="G4" s="211" t="str"/>
      <x:c r="H4" s="211" t="str"/>
      <x:c r="I4" s="211" t="str"/>
      <x:c r="J4" s="211" t="str"/>
      <x:c r="K4" s="211" t="str"/>
      <x:c r="L4" s="211" t="str"/>
      <x:c r="M4" s="195"/>
      <x:c r="N4" s="195"/>
      <x:c r="O4" s="195"/>
      <x:c r="P4" s="195"/>
      <x:c r="Q4" s="195"/>
      <x:c r="R4" s="195"/>
      <x:c r="S4" s="195"/>
      <x:c r="T4" s="195"/>
      <x:c r="U4" s="195"/>
      <x:c r="V4" s="195"/>
      <x:c r="W4" s="195"/>
      <x:c r="X4" s="195"/>
      <x:c r="Y4" s="195"/>
      <x:c r="Z4" s="195"/>
    </x:row>
    <x:row r="5" ht="42" customHeight="1">
      <x:c r="A5" s="20" t="str">
        <x:v>Segment-ID</x:v>
      </x:c>
      <x:c r="B5" s="21" t="str">
        <x:v>Regio</x:v>
      </x:c>
      <x:c r="C5" s="21" t="str">
        <x:v>Huishoudgroep</x:v>
      </x:c>
      <x:c r="D5" s="21" t="str">
        <x:v>Bijzondere behoefte</x:v>
      </x:c>
      <x:c r="E5" s="21" t="str">
        <x:v>Behoefte Dg</x:v>
      </x:c>
      <x:c r="F5" s="21" t="str">
        <x:v>Beschikbaar</x:v>
      </x:c>
      <x:c r="G5" s="21" t="str">
        <x:v>Kwaliteit/locatie/zekerheid</x:v>
      </x:c>
      <x:c r="H5" s="21" t="str">
        <x:v>Betaalbaar én adequaat</x:v>
      </x:c>
      <x:c r="I5" s="21" t="str">
        <x:v>Gekoppeld Mg</x:v>
      </x:c>
      <x:c r="J5" s="21" t="str">
        <x:v>Tekort Tg</x:v>
      </x:c>
      <x:c r="K5" s="21" t="str">
        <x:v>Dekking</x:v>
      </x:c>
      <x:c r="L5" s="22" t="str">
        <x:v>Bron / notitie</x:v>
      </x:c>
      <x:c r="M5" s="195"/>
      <x:c r="N5" s="195"/>
      <x:c r="O5" s="195"/>
      <x:c r="P5" s="195"/>
      <x:c r="Q5" s="195"/>
      <x:c r="R5" s="195"/>
      <x:c r="S5" s="195"/>
      <x:c r="T5" s="195"/>
      <x:c r="U5" s="195"/>
      <x:c r="V5" s="195"/>
      <x:c r="W5" s="195"/>
      <x:c r="X5" s="195"/>
      <x:c r="Y5" s="195"/>
      <x:c r="Z5" s="195"/>
    </x:row>
    <x:row r="6" ht="30" customHeight="1">
      <x:c r="A6" s="218" t="str">
        <x:v>WG-01</x:v>
      </x:c>
      <x:c r="B6" s="230" t="str">
        <x:v>Stad Centrum</x:v>
      </x:c>
      <x:c r="C6" s="230" t="str">
        <x:v>Alleenstaande</x:v>
      </x:c>
      <x:c r="D6" s="230" t="str">
        <x:v>geen</x:v>
      </x:c>
      <x:c r="E6" s="231" t="n">
        <x:v>1000</x:v>
      </x:c>
      <x:c r="F6" s="231" t="n">
        <x:v>850</x:v>
      </x:c>
      <x:c r="G6" s="231" t="n">
        <x:v>800</x:v>
      </x:c>
      <x:c r="H6" s="232" t="n">
        <x:v>760</x:v>
      </x:c>
      <x:c r="I6" s="233" t="n">
        <x:f>IF(E6="","",MIN(E6,H6))</x:f>
        <x:v>760</x:v>
      </x:c>
      <x:c r="J6" s="234" t="n">
        <x:f>IF(E6="","",MAX(0,E6-I6))</x:f>
        <x:v>240</x:v>
      </x:c>
      <x:c r="K6" s="235" t="n">
        <x:f>IF(E6="","",IF(E6=0,1,I6/E6))</x:f>
        <x:v>0.76</x:v>
      </x:c>
      <x:c r="L6" s="212" t="str">
        <x:v>illustratief</x:v>
      </x:c>
      <x:c r="M6" s="195"/>
      <x:c r="N6" s="195"/>
      <x:c r="O6" s="195"/>
      <x:c r="P6" s="195"/>
      <x:c r="Q6" s="195"/>
      <x:c r="R6" s="195"/>
      <x:c r="S6" s="195"/>
      <x:c r="T6" s="195"/>
      <x:c r="U6" s="195"/>
      <x:c r="V6" s="195"/>
      <x:c r="W6" s="195"/>
      <x:c r="X6" s="195"/>
      <x:c r="Y6" s="195"/>
      <x:c r="Z6" s="195"/>
    </x:row>
    <x:row r="7" ht="30" customHeight="1">
      <x:c r="A7" s="222" t="str">
        <x:v>WG-02</x:v>
      </x:c>
      <x:c r="B7" s="236" t="str">
        <x:v>Stad Centrum</x:v>
      </x:c>
      <x:c r="C7" s="236" t="str">
        <x:v>Paar zonder kinderen</x:v>
      </x:c>
      <x:c r="D7" s="236" t="str">
        <x:v>geen</x:v>
      </x:c>
      <x:c r="E7" s="237" t="n">
        <x:v>600</x:v>
      </x:c>
      <x:c r="F7" s="237" t="n">
        <x:v>550</x:v>
      </x:c>
      <x:c r="G7" s="237" t="n">
        <x:v>520</x:v>
      </x:c>
      <x:c r="H7" s="238" t="n">
        <x:v>500</x:v>
      </x:c>
      <x:c r="I7" s="239" t="n">
        <x:f>IF(E7="","",MIN(E7,H7))</x:f>
        <x:v>500</x:v>
      </x:c>
      <x:c r="J7" s="240" t="n">
        <x:f>IF(E7="","",MAX(0,E7-I7))</x:f>
        <x:v>100</x:v>
      </x:c>
      <x:c r="K7" s="241" t="n">
        <x:f>IF(E7="","",IF(E7=0,1,I7/E7))</x:f>
        <x:v>0.8333333333333334</x:v>
      </x:c>
      <x:c r="L7" s="215" t="str">
        <x:v>illustratief</x:v>
      </x:c>
      <x:c r="M7" s="195"/>
      <x:c r="N7" s="195"/>
      <x:c r="O7" s="195"/>
      <x:c r="P7" s="195"/>
      <x:c r="Q7" s="195"/>
      <x:c r="R7" s="195"/>
      <x:c r="S7" s="195"/>
      <x:c r="T7" s="195"/>
      <x:c r="U7" s="195"/>
      <x:c r="V7" s="195"/>
      <x:c r="W7" s="195"/>
      <x:c r="X7" s="195"/>
      <x:c r="Y7" s="195"/>
      <x:c r="Z7" s="195"/>
    </x:row>
    <x:row r="8" ht="30" customHeight="1">
      <x:c r="A8" s="222" t="str">
        <x:v>WG-03</x:v>
      </x:c>
      <x:c r="B8" s="236" t="str">
        <x:v>Stad Noord</x:v>
      </x:c>
      <x:c r="C8" s="236" t="str">
        <x:v>Gezin met kinderen</x:v>
      </x:c>
      <x:c r="D8" s="236" t="str">
        <x:v>geen</x:v>
      </x:c>
      <x:c r="E8" s="237" t="n">
        <x:v>750</x:v>
      </x:c>
      <x:c r="F8" s="237" t="n">
        <x:v>680</x:v>
      </x:c>
      <x:c r="G8" s="237" t="n">
        <x:v>650</x:v>
      </x:c>
      <x:c r="H8" s="238" t="n">
        <x:v>610</x:v>
      </x:c>
      <x:c r="I8" s="239" t="n">
        <x:f>IF(E8="","",MIN(E8,H8))</x:f>
        <x:v>610</x:v>
      </x:c>
      <x:c r="J8" s="240" t="n">
        <x:f>IF(E8="","",MAX(0,E8-I8))</x:f>
        <x:v>140</x:v>
      </x:c>
      <x:c r="K8" s="241" t="n">
        <x:f>IF(E8="","",IF(E8=0,1,I8/E8))</x:f>
        <x:v>0.8133333333333334</x:v>
      </x:c>
      <x:c r="L8" s="215" t="str">
        <x:v>illustratief</x:v>
      </x:c>
      <x:c r="M8" s="195"/>
      <x:c r="N8" s="195"/>
      <x:c r="O8" s="195"/>
      <x:c r="P8" s="195"/>
      <x:c r="Q8" s="195"/>
      <x:c r="R8" s="195"/>
      <x:c r="S8" s="195"/>
      <x:c r="T8" s="195"/>
      <x:c r="U8" s="195"/>
      <x:c r="V8" s="195"/>
      <x:c r="W8" s="195"/>
      <x:c r="X8" s="195"/>
      <x:c r="Y8" s="195"/>
      <x:c r="Z8" s="195"/>
    </x:row>
    <x:row r="9" ht="30" customHeight="1">
      <x:c r="A9" s="222" t="str">
        <x:v>WG-04</x:v>
      </x:c>
      <x:c r="B9" s="236" t="str">
        <x:v>Regio Oost</x:v>
      </x:c>
      <x:c r="C9" s="236" t="str">
        <x:v>Alleenstaande oudere</x:v>
      </x:c>
      <x:c r="D9" s="236" t="str">
        <x:v>gelijkvloers</x:v>
      </x:c>
      <x:c r="E9" s="237" t="n">
        <x:v>400</x:v>
      </x:c>
      <x:c r="F9" s="237" t="n">
        <x:v>300</x:v>
      </x:c>
      <x:c r="G9" s="237" t="n">
        <x:v>280</x:v>
      </x:c>
      <x:c r="H9" s="238" t="n">
        <x:v>240</x:v>
      </x:c>
      <x:c r="I9" s="239" t="n">
        <x:f>IF(E9="","",MIN(E9,H9))</x:f>
        <x:v>240</x:v>
      </x:c>
      <x:c r="J9" s="240" t="n">
        <x:f>IF(E9="","",MAX(0,E9-I9))</x:f>
        <x:v>160</x:v>
      </x:c>
      <x:c r="K9" s="241" t="n">
        <x:f>IF(E9="","",IF(E9=0,1,I9/E9))</x:f>
        <x:v>0.6</x:v>
      </x:c>
      <x:c r="L9" s="215" t="str">
        <x:v>illustratief</x:v>
      </x:c>
      <x:c r="M9" s="195"/>
      <x:c r="N9" s="195"/>
      <x:c r="O9" s="195"/>
      <x:c r="P9" s="195"/>
      <x:c r="Q9" s="195"/>
      <x:c r="R9" s="195"/>
      <x:c r="S9" s="195"/>
      <x:c r="T9" s="195"/>
      <x:c r="U9" s="195"/>
      <x:c r="V9" s="195"/>
      <x:c r="W9" s="195"/>
      <x:c r="X9" s="195"/>
      <x:c r="Y9" s="195"/>
      <x:c r="Z9" s="195"/>
    </x:row>
    <x:row r="10" ht="30" customHeight="1">
      <x:c r="A10" s="222" t="str">
        <x:v>WG-05</x:v>
      </x:c>
      <x:c r="B10" s="236" t="str">
        <x:v>Regio Oost</x:v>
      </x:c>
      <x:c r="C10" s="236" t="str">
        <x:v>Huishouden met beperking</x:v>
      </x:c>
      <x:c r="D10" s="236" t="str">
        <x:v>rolstoeltoegankelijk</x:v>
      </x:c>
      <x:c r="E10" s="237" t="n">
        <x:v>180</x:v>
      </x:c>
      <x:c r="F10" s="237" t="n">
        <x:v>110</x:v>
      </x:c>
      <x:c r="G10" s="237" t="n">
        <x:v>95</x:v>
      </x:c>
      <x:c r="H10" s="238" t="n">
        <x:v>80</x:v>
      </x:c>
      <x:c r="I10" s="239" t="n">
        <x:f>IF(E10="","",MIN(E10,H10))</x:f>
        <x:v>80</x:v>
      </x:c>
      <x:c r="J10" s="240" t="n">
        <x:f>IF(E10="","",MAX(0,E10-I10))</x:f>
        <x:v>100</x:v>
      </x:c>
      <x:c r="K10" s="241" t="n">
        <x:f>IF(E10="","",IF(E10=0,1,I10/E10))</x:f>
        <x:v>0.4444444444444444</x:v>
      </x:c>
      <x:c r="L10" s="215" t="str">
        <x:v>illustratief</x:v>
      </x:c>
      <x:c r="M10" s="195"/>
      <x:c r="N10" s="195"/>
      <x:c r="O10" s="195"/>
      <x:c r="P10" s="195"/>
      <x:c r="Q10" s="195"/>
      <x:c r="R10" s="195"/>
      <x:c r="S10" s="195"/>
      <x:c r="T10" s="195"/>
      <x:c r="U10" s="195"/>
      <x:c r="V10" s="195"/>
      <x:c r="W10" s="195"/>
      <x:c r="X10" s="195"/>
      <x:c r="Y10" s="195"/>
      <x:c r="Z10" s="195"/>
    </x:row>
    <x:row r="11" ht="30" customHeight="1">
      <x:c r="A11" s="222" t="str">
        <x:v>WG-06</x:v>
      </x:c>
      <x:c r="B11" s="236" t="str">
        <x:v>Regio Zuid</x:v>
      </x:c>
      <x:c r="C11" s="236" t="str">
        <x:v>Starter</x:v>
      </x:c>
      <x:c r="D11" s="236" t="str">
        <x:v>geen</x:v>
      </x:c>
      <x:c r="E11" s="237" t="n">
        <x:v>500</x:v>
      </x:c>
      <x:c r="F11" s="237" t="n">
        <x:v>390</x:v>
      </x:c>
      <x:c r="G11" s="237" t="n">
        <x:v>370</x:v>
      </x:c>
      <x:c r="H11" s="238" t="n">
        <x:v>320</x:v>
      </x:c>
      <x:c r="I11" s="239" t="n">
        <x:f>IF(E11="","",MIN(E11,H11))</x:f>
        <x:v>320</x:v>
      </x:c>
      <x:c r="J11" s="240" t="n">
        <x:f>IF(E11="","",MAX(0,E11-I11))</x:f>
        <x:v>180</x:v>
      </x:c>
      <x:c r="K11" s="241" t="n">
        <x:f>IF(E11="","",IF(E11=0,1,I11/E11))</x:f>
        <x:v>0.64</x:v>
      </x:c>
      <x:c r="L11" s="215" t="str">
        <x:v>illustratief</x:v>
      </x:c>
      <x:c r="M11" s="195"/>
      <x:c r="N11" s="195"/>
      <x:c r="O11" s="195"/>
      <x:c r="P11" s="195"/>
      <x:c r="Q11" s="195"/>
      <x:c r="R11" s="195"/>
      <x:c r="S11" s="195"/>
      <x:c r="T11" s="195"/>
      <x:c r="U11" s="195"/>
      <x:c r="V11" s="195"/>
      <x:c r="W11" s="195"/>
      <x:c r="X11" s="195"/>
      <x:c r="Y11" s="195"/>
      <x:c r="Z11" s="195"/>
    </x:row>
    <x:row r="12" ht="30" customHeight="1">
      <x:c r="A12" s="222"/>
      <x:c r="B12" s="236"/>
      <x:c r="C12" s="236"/>
      <x:c r="D12" s="236"/>
      <x:c r="E12" s="237"/>
      <x:c r="F12" s="237"/>
      <x:c r="G12" s="237"/>
      <x:c r="H12" s="238"/>
      <x:c r="I12" s="239" t="str">
        <x:f>IF(E12="","",MIN(E12,H12))</x:f>
      </x:c>
      <x:c r="J12" s="240" t="str">
        <x:f>IF(E12="","",MAX(0,E12-I12))</x:f>
      </x:c>
      <x:c r="K12" s="241" t="str">
        <x:f>IF(E12="","",IF(E12=0,1,I12/E12))</x:f>
      </x:c>
      <x:c r="L12" s="215"/>
      <x:c r="M12" s="195"/>
      <x:c r="N12" s="195"/>
      <x:c r="O12" s="195"/>
      <x:c r="P12" s="195"/>
      <x:c r="Q12" s="195"/>
      <x:c r="R12" s="195"/>
      <x:c r="S12" s="195"/>
      <x:c r="T12" s="195"/>
      <x:c r="U12" s="195"/>
      <x:c r="V12" s="195"/>
      <x:c r="W12" s="195"/>
      <x:c r="X12" s="195"/>
      <x:c r="Y12" s="195"/>
      <x:c r="Z12" s="195"/>
    </x:row>
    <x:row r="13" ht="30" customHeight="1">
      <x:c r="A13" s="222"/>
      <x:c r="B13" s="236"/>
      <x:c r="C13" s="236"/>
      <x:c r="D13" s="236"/>
      <x:c r="E13" s="237"/>
      <x:c r="F13" s="237"/>
      <x:c r="G13" s="237"/>
      <x:c r="H13" s="238"/>
      <x:c r="I13" s="239" t="str">
        <x:f>IF(E13="","",MIN(E13,H13))</x:f>
      </x:c>
      <x:c r="J13" s="240" t="str">
        <x:f>IF(E13="","",MAX(0,E13-I13))</x:f>
      </x:c>
      <x:c r="K13" s="241" t="str">
        <x:f>IF(E13="","",IF(E13=0,1,I13/E13))</x:f>
      </x:c>
      <x:c r="L13" s="215"/>
      <x:c r="M13" s="195"/>
      <x:c r="N13" s="195"/>
      <x:c r="O13" s="195"/>
      <x:c r="P13" s="195"/>
      <x:c r="Q13" s="195"/>
      <x:c r="R13" s="195"/>
      <x:c r="S13" s="195"/>
      <x:c r="T13" s="195"/>
      <x:c r="U13" s="195"/>
      <x:c r="V13" s="195"/>
      <x:c r="W13" s="195"/>
      <x:c r="X13" s="195"/>
      <x:c r="Y13" s="195"/>
      <x:c r="Z13" s="195"/>
    </x:row>
    <x:row r="14" ht="30" customHeight="1">
      <x:c r="A14" s="222"/>
      <x:c r="B14" s="236"/>
      <x:c r="C14" s="236"/>
      <x:c r="D14" s="236"/>
      <x:c r="E14" s="237"/>
      <x:c r="F14" s="237"/>
      <x:c r="G14" s="237"/>
      <x:c r="H14" s="238"/>
      <x:c r="I14" s="239" t="str">
        <x:f>IF(E14="","",MIN(E14,H14))</x:f>
      </x:c>
      <x:c r="J14" s="240" t="str">
        <x:f>IF(E14="","",MAX(0,E14-I14))</x:f>
      </x:c>
      <x:c r="K14" s="241" t="str">
        <x:f>IF(E14="","",IF(E14=0,1,I14/E14))</x:f>
      </x:c>
      <x:c r="L14" s="215"/>
      <x:c r="M14" s="195"/>
      <x:c r="N14" s="195"/>
      <x:c r="O14" s="195"/>
      <x:c r="P14" s="195"/>
      <x:c r="Q14" s="195"/>
      <x:c r="R14" s="195"/>
      <x:c r="S14" s="195"/>
      <x:c r="T14" s="195"/>
      <x:c r="U14" s="195"/>
      <x:c r="V14" s="195"/>
      <x:c r="W14" s="195"/>
      <x:c r="X14" s="195"/>
      <x:c r="Y14" s="195"/>
      <x:c r="Z14" s="195"/>
    </x:row>
    <x:row r="15" ht="30" customHeight="1">
      <x:c r="A15" s="222"/>
      <x:c r="B15" s="236"/>
      <x:c r="C15" s="236"/>
      <x:c r="D15" s="236"/>
      <x:c r="E15" s="237"/>
      <x:c r="F15" s="237"/>
      <x:c r="G15" s="237"/>
      <x:c r="H15" s="238"/>
      <x:c r="I15" s="239" t="str">
        <x:f>IF(E15="","",MIN(E15,H15))</x:f>
      </x:c>
      <x:c r="J15" s="240" t="str">
        <x:f>IF(E15="","",MAX(0,E15-I15))</x:f>
      </x:c>
      <x:c r="K15" s="241" t="str">
        <x:f>IF(E15="","",IF(E15=0,1,I15/E15))</x:f>
      </x:c>
      <x:c r="L15" s="215"/>
      <x:c r="M15" s="195"/>
      <x:c r="N15" s="195"/>
      <x:c r="O15" s="195"/>
      <x:c r="P15" s="195"/>
      <x:c r="Q15" s="195"/>
      <x:c r="R15" s="195"/>
      <x:c r="S15" s="195"/>
      <x:c r="T15" s="195"/>
      <x:c r="U15" s="195"/>
      <x:c r="V15" s="195"/>
      <x:c r="W15" s="195"/>
      <x:c r="X15" s="195"/>
      <x:c r="Y15" s="195"/>
      <x:c r="Z15" s="195"/>
    </x:row>
    <x:row r="16" ht="30" customHeight="1">
      <x:c r="A16" s="222"/>
      <x:c r="B16" s="236"/>
      <x:c r="C16" s="236"/>
      <x:c r="D16" s="236"/>
      <x:c r="E16" s="237"/>
      <x:c r="F16" s="237"/>
      <x:c r="G16" s="237"/>
      <x:c r="H16" s="238"/>
      <x:c r="I16" s="239" t="str">
        <x:f>IF(E16="","",MIN(E16,H16))</x:f>
      </x:c>
      <x:c r="J16" s="240" t="str">
        <x:f>IF(E16="","",MAX(0,E16-I16))</x:f>
      </x:c>
      <x:c r="K16" s="241" t="str">
        <x:f>IF(E16="","",IF(E16=0,1,I16/E16))</x:f>
      </x:c>
      <x:c r="L16" s="215"/>
      <x:c r="M16" s="195"/>
      <x:c r="N16" s="195"/>
      <x:c r="O16" s="195"/>
      <x:c r="P16" s="195"/>
      <x:c r="Q16" s="195"/>
      <x:c r="R16" s="195"/>
      <x:c r="S16" s="195"/>
      <x:c r="T16" s="195"/>
      <x:c r="U16" s="195"/>
      <x:c r="V16" s="195"/>
      <x:c r="W16" s="195"/>
      <x:c r="X16" s="195"/>
      <x:c r="Y16" s="195"/>
      <x:c r="Z16" s="195"/>
    </x:row>
    <x:row r="17" ht="30" customHeight="1">
      <x:c r="A17" s="222"/>
      <x:c r="B17" s="236"/>
      <x:c r="C17" s="236"/>
      <x:c r="D17" s="236"/>
      <x:c r="E17" s="237"/>
      <x:c r="F17" s="237"/>
      <x:c r="G17" s="237"/>
      <x:c r="H17" s="238"/>
      <x:c r="I17" s="239" t="str">
        <x:f>IF(E17="","",MIN(E17,H17))</x:f>
      </x:c>
      <x:c r="J17" s="240" t="str">
        <x:f>IF(E17="","",MAX(0,E17-I17))</x:f>
      </x:c>
      <x:c r="K17" s="241" t="str">
        <x:f>IF(E17="","",IF(E17=0,1,I17/E17))</x:f>
      </x:c>
      <x:c r="L17" s="215"/>
      <x:c r="M17" s="195"/>
      <x:c r="N17" s="195"/>
      <x:c r="O17" s="195"/>
      <x:c r="P17" s="195"/>
      <x:c r="Q17" s="195"/>
      <x:c r="R17" s="195"/>
      <x:c r="S17" s="195"/>
      <x:c r="T17" s="195"/>
      <x:c r="U17" s="195"/>
      <x:c r="V17" s="195"/>
      <x:c r="W17" s="195"/>
      <x:c r="X17" s="195"/>
      <x:c r="Y17" s="195"/>
      <x:c r="Z17" s="195"/>
    </x:row>
    <x:row r="18" ht="30" customHeight="1">
      <x:c r="A18" s="222"/>
      <x:c r="B18" s="236"/>
      <x:c r="C18" s="236"/>
      <x:c r="D18" s="236"/>
      <x:c r="E18" s="237"/>
      <x:c r="F18" s="237"/>
      <x:c r="G18" s="237"/>
      <x:c r="H18" s="238"/>
      <x:c r="I18" s="239" t="str">
        <x:f>IF(E18="","",MIN(E18,H18))</x:f>
      </x:c>
      <x:c r="J18" s="240" t="str">
        <x:f>IF(E18="","",MAX(0,E18-I18))</x:f>
      </x:c>
      <x:c r="K18" s="241" t="str">
        <x:f>IF(E18="","",IF(E18=0,1,I18/E18))</x:f>
      </x:c>
      <x:c r="L18" s="215"/>
      <x:c r="M18" s="195"/>
      <x:c r="N18" s="195"/>
      <x:c r="O18" s="195"/>
      <x:c r="P18" s="195"/>
      <x:c r="Q18" s="195"/>
      <x:c r="R18" s="195"/>
      <x:c r="S18" s="195"/>
      <x:c r="T18" s="195"/>
      <x:c r="U18" s="195"/>
      <x:c r="V18" s="195"/>
      <x:c r="W18" s="195"/>
      <x:c r="X18" s="195"/>
      <x:c r="Y18" s="195"/>
      <x:c r="Z18" s="195"/>
    </x:row>
    <x:row r="19" ht="30" customHeight="1">
      <x:c r="A19" s="222"/>
      <x:c r="B19" s="236"/>
      <x:c r="C19" s="236"/>
      <x:c r="D19" s="236"/>
      <x:c r="E19" s="237"/>
      <x:c r="F19" s="237"/>
      <x:c r="G19" s="237"/>
      <x:c r="H19" s="238"/>
      <x:c r="I19" s="239" t="str">
        <x:f>IF(E19="","",MIN(E19,H19))</x:f>
      </x:c>
      <x:c r="J19" s="240" t="str">
        <x:f>IF(E19="","",MAX(0,E19-I19))</x:f>
      </x:c>
      <x:c r="K19" s="241" t="str">
        <x:f>IF(E19="","",IF(E19=0,1,I19/E19))</x:f>
      </x:c>
      <x:c r="L19" s="215"/>
      <x:c r="M19" s="195"/>
      <x:c r="N19" s="195"/>
      <x:c r="O19" s="195"/>
      <x:c r="P19" s="195"/>
      <x:c r="Q19" s="195"/>
      <x:c r="R19" s="195"/>
      <x:c r="S19" s="195"/>
      <x:c r="T19" s="195"/>
      <x:c r="U19" s="195"/>
      <x:c r="V19" s="195"/>
      <x:c r="W19" s="195"/>
      <x:c r="X19" s="195"/>
      <x:c r="Y19" s="195"/>
      <x:c r="Z19" s="195"/>
    </x:row>
    <x:row r="20" ht="30" customHeight="1">
      <x:c r="A20" s="222"/>
      <x:c r="B20" s="236"/>
      <x:c r="C20" s="236"/>
      <x:c r="D20" s="236"/>
      <x:c r="E20" s="237"/>
      <x:c r="F20" s="237"/>
      <x:c r="G20" s="237"/>
      <x:c r="H20" s="238"/>
      <x:c r="I20" s="239" t="str">
        <x:f>IF(E20="","",MIN(E20,H20))</x:f>
      </x:c>
      <x:c r="J20" s="240" t="str">
        <x:f>IF(E20="","",MAX(0,E20-I20))</x:f>
      </x:c>
      <x:c r="K20" s="241" t="str">
        <x:f>IF(E20="","",IF(E20=0,1,I20/E20))</x:f>
      </x:c>
      <x:c r="L20" s="215"/>
      <x:c r="M20" s="195"/>
      <x:c r="N20" s="195"/>
      <x:c r="O20" s="195"/>
      <x:c r="P20" s="195"/>
      <x:c r="Q20" s="195"/>
      <x:c r="R20" s="195"/>
      <x:c r="S20" s="195"/>
      <x:c r="T20" s="195"/>
      <x:c r="U20" s="195"/>
      <x:c r="V20" s="195"/>
      <x:c r="W20" s="195"/>
      <x:c r="X20" s="195"/>
      <x:c r="Y20" s="195"/>
      <x:c r="Z20" s="195"/>
    </x:row>
    <x:row r="21" ht="30" customHeight="1">
      <x:c r="A21" s="222"/>
      <x:c r="B21" s="236"/>
      <x:c r="C21" s="236"/>
      <x:c r="D21" s="236"/>
      <x:c r="E21" s="237"/>
      <x:c r="F21" s="237"/>
      <x:c r="G21" s="237"/>
      <x:c r="H21" s="238"/>
      <x:c r="I21" s="239" t="str">
        <x:f>IF(E21="","",MIN(E21,H21))</x:f>
      </x:c>
      <x:c r="J21" s="240" t="str">
        <x:f>IF(E21="","",MAX(0,E21-I21))</x:f>
      </x:c>
      <x:c r="K21" s="241" t="str">
        <x:f>IF(E21="","",IF(E21=0,1,I21/E21))</x:f>
      </x:c>
      <x:c r="L21" s="215"/>
      <x:c r="M21" s="195"/>
      <x:c r="N21" s="195"/>
      <x:c r="O21" s="195"/>
      <x:c r="P21" s="195"/>
      <x:c r="Q21" s="195"/>
      <x:c r="R21" s="195"/>
      <x:c r="S21" s="195"/>
      <x:c r="T21" s="195"/>
      <x:c r="U21" s="195"/>
      <x:c r="V21" s="195"/>
      <x:c r="W21" s="195"/>
      <x:c r="X21" s="195"/>
      <x:c r="Y21" s="195"/>
      <x:c r="Z21" s="195"/>
    </x:row>
    <x:row r="22" ht="30" customHeight="1">
      <x:c r="A22" s="222"/>
      <x:c r="B22" s="236"/>
      <x:c r="C22" s="236"/>
      <x:c r="D22" s="236"/>
      <x:c r="E22" s="237"/>
      <x:c r="F22" s="237"/>
      <x:c r="G22" s="237"/>
      <x:c r="H22" s="238"/>
      <x:c r="I22" s="239" t="str">
        <x:f>IF(E22="","",MIN(E22,H22))</x:f>
      </x:c>
      <x:c r="J22" s="240" t="str">
        <x:f>IF(E22="","",MAX(0,E22-I22))</x:f>
      </x:c>
      <x:c r="K22" s="241" t="str">
        <x:f>IF(E22="","",IF(E22=0,1,I22/E22))</x:f>
      </x:c>
      <x:c r="L22" s="215"/>
      <x:c r="M22" s="195"/>
      <x:c r="N22" s="195"/>
      <x:c r="O22" s="195"/>
      <x:c r="P22" s="195"/>
      <x:c r="Q22" s="195"/>
      <x:c r="R22" s="195"/>
      <x:c r="S22" s="195"/>
      <x:c r="T22" s="195"/>
      <x:c r="U22" s="195"/>
      <x:c r="V22" s="195"/>
      <x:c r="W22" s="195"/>
      <x:c r="X22" s="195"/>
      <x:c r="Y22" s="195"/>
      <x:c r="Z22" s="195"/>
    </x:row>
    <x:row r="23" ht="30" customHeight="1">
      <x:c r="A23" s="222"/>
      <x:c r="B23" s="236"/>
      <x:c r="C23" s="236"/>
      <x:c r="D23" s="236"/>
      <x:c r="E23" s="237"/>
      <x:c r="F23" s="237"/>
      <x:c r="G23" s="237"/>
      <x:c r="H23" s="238"/>
      <x:c r="I23" s="239" t="str">
        <x:f>IF(E23="","",MIN(E23,H23))</x:f>
      </x:c>
      <x:c r="J23" s="240" t="str">
        <x:f>IF(E23="","",MAX(0,E23-I23))</x:f>
      </x:c>
      <x:c r="K23" s="241" t="str">
        <x:f>IF(E23="","",IF(E23=0,1,I23/E23))</x:f>
      </x:c>
      <x:c r="L23" s="215"/>
      <x:c r="M23" s="195"/>
      <x:c r="N23" s="195"/>
      <x:c r="O23" s="195"/>
      <x:c r="P23" s="195"/>
      <x:c r="Q23" s="195"/>
      <x:c r="R23" s="195"/>
      <x:c r="S23" s="195"/>
      <x:c r="T23" s="195"/>
      <x:c r="U23" s="195"/>
      <x:c r="V23" s="195"/>
      <x:c r="W23" s="195"/>
      <x:c r="X23" s="195"/>
      <x:c r="Y23" s="195"/>
      <x:c r="Z23" s="195"/>
    </x:row>
    <x:row r="24" ht="30" customHeight="1">
      <x:c r="A24" s="222"/>
      <x:c r="B24" s="236"/>
      <x:c r="C24" s="236"/>
      <x:c r="D24" s="236"/>
      <x:c r="E24" s="237"/>
      <x:c r="F24" s="237"/>
      <x:c r="G24" s="237"/>
      <x:c r="H24" s="238"/>
      <x:c r="I24" s="239" t="str">
        <x:f>IF(E24="","",MIN(E24,H24))</x:f>
      </x:c>
      <x:c r="J24" s="240" t="str">
        <x:f>IF(E24="","",MAX(0,E24-I24))</x:f>
      </x:c>
      <x:c r="K24" s="241" t="str">
        <x:f>IF(E24="","",IF(E24=0,1,I24/E24))</x:f>
      </x:c>
      <x:c r="L24" s="215"/>
      <x:c r="M24" s="195"/>
      <x:c r="N24" s="195"/>
      <x:c r="O24" s="195"/>
      <x:c r="P24" s="195"/>
      <x:c r="Q24" s="195"/>
      <x:c r="R24" s="195"/>
      <x:c r="S24" s="195"/>
      <x:c r="T24" s="195"/>
      <x:c r="U24" s="195"/>
      <x:c r="V24" s="195"/>
      <x:c r="W24" s="195"/>
      <x:c r="X24" s="195"/>
      <x:c r="Y24" s="195"/>
      <x:c r="Z24" s="195"/>
    </x:row>
    <x:row r="25" ht="30" customHeight="1">
      <x:c r="A25" s="227"/>
      <x:c r="B25" s="242"/>
      <x:c r="C25" s="242"/>
      <x:c r="D25" s="242"/>
      <x:c r="E25" s="243"/>
      <x:c r="F25" s="243"/>
      <x:c r="G25" s="243"/>
      <x:c r="H25" s="244"/>
      <x:c r="I25" s="245" t="str">
        <x:f>IF(E25="","",MIN(E25,H25))</x:f>
      </x:c>
      <x:c r="J25" s="246" t="str">
        <x:f>IF(E25="","",MAX(0,E25-I25))</x:f>
      </x:c>
      <x:c r="K25" s="247" t="str">
        <x:f>IF(E25="","",IF(E25=0,1,I25/E25))</x:f>
      </x:c>
      <x:c r="L25" s="248"/>
      <x:c r="M25" s="195"/>
      <x:c r="N25" s="195"/>
      <x:c r="O25" s="195"/>
      <x:c r="P25" s="195"/>
      <x:c r="Q25" s="195"/>
      <x:c r="R25" s="195"/>
      <x:c r="S25" s="195"/>
      <x:c r="T25" s="195"/>
      <x:c r="U25" s="195"/>
      <x:c r="V25" s="195"/>
      <x:c r="W25" s="195"/>
      <x:c r="X25" s="195"/>
      <x:c r="Y25" s="195"/>
      <x:c r="Z25" s="195"/>
    </x:row>
    <x:row r="26">
      <x:c r="A26" s="249" t="str">
        <x:v>TOTAAL</x:v>
      </x:c>
      <x:c r="B26" s="249"/>
      <x:c r="C26" s="249"/>
      <x:c r="D26" s="249"/>
      <x:c r="E26" s="250" t="n">
        <x:f>SUM(E6:E25)</x:f>
        <x:v>3430</x:v>
      </x:c>
      <x:c r="F26" s="250" t="n">
        <x:f>SUM(F6:F25)</x:f>
        <x:v>2880</x:v>
      </x:c>
      <x:c r="G26" s="250" t="n">
        <x:f>SUM(G6:G25)</x:f>
        <x:v>2715</x:v>
      </x:c>
      <x:c r="H26" s="250" t="n">
        <x:f>SUM(H6:H25)</x:f>
        <x:v>2510</x:v>
      </x:c>
      <x:c r="I26" s="250" t="n">
        <x:f>SUM(I6:I25)</x:f>
        <x:v>2510</x:v>
      </x:c>
      <x:c r="J26" s="250" t="n">
        <x:f>SUM(J6:J25)</x:f>
        <x:v>920</x:v>
      </x:c>
      <x:c r="K26" s="251" t="n">
        <x:f>IF(E26=0,"",I26/E26)</x:f>
        <x:v>0.7317784256559767</x:v>
      </x:c>
      <x:c r="L26" s="249"/>
      <x:c r="M26" s="195"/>
      <x:c r="N26" s="195"/>
      <x:c r="O26" s="195"/>
      <x:c r="P26" s="195"/>
      <x:c r="Q26" s="195"/>
      <x:c r="R26" s="195"/>
      <x:c r="S26" s="195"/>
      <x:c r="T26" s="195"/>
      <x:c r="U26" s="195"/>
      <x:c r="V26" s="195"/>
      <x:c r="W26" s="195"/>
      <x:c r="X26" s="195"/>
      <x:c r="Y26" s="195"/>
      <x:c r="Z26" s="195"/>
    </x:row>
    <x:row r="27">
      <x:c r="A27" s="195"/>
      <x:c r="B27" s="195"/>
      <x:c r="C27" s="195"/>
      <x:c r="D27" s="195"/>
      <x:c r="E27" s="195"/>
      <x:c r="F27" s="195"/>
      <x:c r="G27" s="195"/>
      <x:c r="H27" s="195"/>
      <x:c r="I27" s="195"/>
      <x:c r="J27" s="195"/>
      <x:c r="K27" s="195"/>
      <x:c r="L27" s="195"/>
      <x:c r="M27" s="195"/>
      <x:c r="N27" s="195"/>
      <x:c r="O27" s="195"/>
      <x:c r="P27" s="195"/>
      <x:c r="Q27" s="195"/>
      <x:c r="R27" s="195"/>
      <x:c r="S27" s="195"/>
      <x:c r="T27" s="195"/>
      <x:c r="U27" s="195"/>
      <x:c r="V27" s="195"/>
      <x:c r="W27" s="195"/>
      <x:c r="X27" s="195"/>
      <x:c r="Y27" s="195"/>
      <x:c r="Z27" s="195"/>
    </x:row>
    <x:row r="28">
      <x:c r="A28" s="195"/>
      <x:c r="B28" s="195"/>
      <x:c r="C28" s="195"/>
      <x:c r="D28" s="195"/>
      <x:c r="E28" s="195"/>
      <x:c r="F28" s="195"/>
      <x:c r="G28" s="195"/>
      <x:c r="H28" s="195"/>
      <x:c r="I28" s="195"/>
      <x:c r="J28" s="195"/>
      <x:c r="K28" s="195"/>
      <x:c r="L28" s="195"/>
      <x:c r="M28" s="195"/>
      <x:c r="N28" s="195"/>
      <x:c r="O28" s="195"/>
      <x:c r="P28" s="195"/>
      <x:c r="Q28" s="195"/>
      <x:c r="R28" s="195"/>
      <x:c r="S28" s="195"/>
      <x:c r="T28" s="195"/>
      <x:c r="U28" s="195"/>
      <x:c r="V28" s="195"/>
      <x:c r="W28" s="195"/>
      <x:c r="X28" s="195"/>
      <x:c r="Y28" s="195"/>
      <x:c r="Z28" s="195"/>
    </x:row>
    <x:row r="29">
      <x:c r="A29" s="195"/>
      <x:c r="B29" s="195"/>
      <x:c r="C29" s="195"/>
      <x:c r="D29" s="195"/>
      <x:c r="E29" s="195"/>
      <x:c r="F29" s="195"/>
      <x:c r="G29" s="195"/>
      <x:c r="H29" s="195"/>
      <x:c r="I29" s="195"/>
      <x:c r="J29" s="195"/>
      <x:c r="K29" s="195"/>
      <x:c r="L29" s="195"/>
      <x:c r="M29" s="195"/>
      <x:c r="N29" s="195"/>
      <x:c r="O29" s="195"/>
      <x:c r="P29" s="195"/>
      <x:c r="Q29" s="195"/>
      <x:c r="R29" s="195"/>
      <x:c r="S29" s="195"/>
      <x:c r="T29" s="195"/>
      <x:c r="U29" s="195"/>
      <x:c r="V29" s="195"/>
      <x:c r="W29" s="195"/>
      <x:c r="X29" s="195"/>
      <x:c r="Y29" s="195"/>
      <x:c r="Z29" s="195"/>
    </x:row>
    <x:row r="30">
      <x:c r="A30" s="195"/>
      <x:c r="B30" s="195"/>
      <x:c r="C30" s="195"/>
      <x:c r="D30" s="195"/>
      <x:c r="E30" s="195"/>
      <x:c r="F30" s="195"/>
      <x:c r="G30" s="195"/>
      <x:c r="H30" s="195"/>
      <x:c r="I30" s="195"/>
      <x:c r="J30" s="195"/>
      <x:c r="K30" s="195"/>
      <x:c r="L30" s="195"/>
      <x:c r="M30" s="195"/>
      <x:c r="N30" s="195"/>
      <x:c r="O30" s="195"/>
      <x:c r="P30" s="195"/>
      <x:c r="Q30" s="195"/>
      <x:c r="R30" s="195"/>
      <x:c r="S30" s="195"/>
      <x:c r="T30" s="195"/>
      <x:c r="U30" s="195"/>
      <x:c r="V30" s="195"/>
      <x:c r="W30" s="195"/>
      <x:c r="X30" s="195"/>
      <x:c r="Y30" s="195"/>
      <x:c r="Z30" s="195"/>
    </x:row>
    <x:row r="31">
      <x:c r="A31" s="195"/>
      <x:c r="B31" s="195"/>
      <x:c r="C31" s="195"/>
      <x:c r="D31" s="195"/>
      <x:c r="E31" s="195"/>
      <x:c r="F31" s="195"/>
      <x:c r="G31" s="195"/>
      <x:c r="H31" s="195"/>
      <x:c r="I31" s="195"/>
      <x:c r="J31" s="195"/>
      <x:c r="K31" s="195"/>
      <x:c r="L31" s="195"/>
      <x:c r="M31" s="195"/>
      <x:c r="N31" s="195"/>
      <x:c r="O31" s="195"/>
      <x:c r="P31" s="195"/>
      <x:c r="Q31" s="195"/>
      <x:c r="R31" s="195"/>
      <x:c r="S31" s="195"/>
      <x:c r="T31" s="195"/>
      <x:c r="U31" s="195"/>
      <x:c r="V31" s="195"/>
      <x:c r="W31" s="195"/>
      <x:c r="X31" s="195"/>
      <x:c r="Y31" s="195"/>
      <x:c r="Z31" s="195"/>
    </x:row>
    <x:row r="32">
      <x:c r="A32" s="195"/>
      <x:c r="B32" s="195"/>
      <x:c r="C32" s="195"/>
      <x:c r="D32" s="195"/>
      <x:c r="E32" s="195"/>
      <x:c r="F32" s="195"/>
      <x:c r="G32" s="195"/>
      <x:c r="H32" s="195"/>
      <x:c r="I32" s="195"/>
      <x:c r="J32" s="195"/>
      <x:c r="K32" s="195"/>
      <x:c r="L32" s="195"/>
      <x:c r="M32" s="195"/>
      <x:c r="N32" s="195"/>
      <x:c r="O32" s="195"/>
      <x:c r="P32" s="195"/>
      <x:c r="Q32" s="195"/>
      <x:c r="R32" s="195"/>
      <x:c r="S32" s="195"/>
      <x:c r="T32" s="195"/>
      <x:c r="U32" s="195"/>
      <x:c r="V32" s="195"/>
      <x:c r="W32" s="195"/>
      <x:c r="X32" s="195"/>
      <x:c r="Y32" s="195"/>
      <x:c r="Z32" s="195"/>
    </x:row>
    <x:row r="33">
      <x:c r="A33" s="195"/>
      <x:c r="B33" s="195"/>
      <x:c r="C33" s="195"/>
      <x:c r="D33" s="195"/>
      <x:c r="E33" s="195"/>
      <x:c r="F33" s="195"/>
      <x:c r="G33" s="195"/>
      <x:c r="H33" s="195"/>
      <x:c r="I33" s="195"/>
      <x:c r="J33" s="195"/>
      <x:c r="K33" s="195"/>
      <x:c r="L33" s="195"/>
      <x:c r="M33" s="195"/>
      <x:c r="N33" s="195"/>
      <x:c r="O33" s="195"/>
      <x:c r="P33" s="195"/>
      <x:c r="Q33" s="195"/>
      <x:c r="R33" s="195"/>
      <x:c r="S33" s="195"/>
      <x:c r="T33" s="195"/>
      <x:c r="U33" s="195"/>
      <x:c r="V33" s="195"/>
      <x:c r="W33" s="195"/>
      <x:c r="X33" s="195"/>
      <x:c r="Y33" s="195"/>
      <x:c r="Z33" s="195"/>
    </x:row>
    <x:row r="34">
      <x:c r="A34" s="195"/>
      <x:c r="B34" s="195"/>
      <x:c r="C34" s="195"/>
      <x:c r="D34" s="195"/>
      <x:c r="E34" s="195"/>
      <x:c r="F34" s="195"/>
      <x:c r="G34" s="195"/>
      <x:c r="H34" s="195"/>
      <x:c r="I34" s="195"/>
      <x:c r="J34" s="195"/>
      <x:c r="K34" s="195"/>
      <x:c r="L34" s="195"/>
      <x:c r="M34" s="195"/>
      <x:c r="N34" s="195"/>
      <x:c r="O34" s="195"/>
      <x:c r="P34" s="195"/>
      <x:c r="Q34" s="195"/>
      <x:c r="R34" s="195"/>
      <x:c r="S34" s="195"/>
      <x:c r="T34" s="195"/>
      <x:c r="U34" s="195"/>
      <x:c r="V34" s="195"/>
      <x:c r="W34" s="195"/>
      <x:c r="X34" s="195"/>
      <x:c r="Y34" s="195"/>
      <x:c r="Z34" s="195"/>
    </x:row>
    <x:row r="35">
      <x:c r="A35" s="195"/>
      <x:c r="B35" s="195"/>
      <x:c r="C35" s="195"/>
      <x:c r="D35" s="195"/>
      <x:c r="E35" s="195"/>
      <x:c r="F35" s="195"/>
      <x:c r="G35" s="195"/>
      <x:c r="H35" s="195"/>
      <x:c r="I35" s="195"/>
      <x:c r="J35" s="195"/>
      <x:c r="K35" s="195"/>
      <x:c r="L35" s="195"/>
      <x:c r="M35" s="195"/>
      <x:c r="N35" s="195"/>
      <x:c r="O35" s="195"/>
      <x:c r="P35" s="195"/>
      <x:c r="Q35" s="195"/>
      <x:c r="R35" s="195"/>
      <x:c r="S35" s="195"/>
      <x:c r="T35" s="195"/>
      <x:c r="U35" s="195"/>
      <x:c r="V35" s="195"/>
      <x:c r="W35" s="195"/>
      <x:c r="X35" s="195"/>
      <x:c r="Y35" s="195"/>
      <x:c r="Z35" s="195"/>
    </x:row>
    <x:row r="36">
      <x:c r="A36" s="195"/>
      <x:c r="B36" s="195"/>
      <x:c r="C36" s="195"/>
      <x:c r="D36" s="195"/>
      <x:c r="E36" s="195"/>
      <x:c r="F36" s="195"/>
      <x:c r="G36" s="195"/>
      <x:c r="H36" s="195"/>
      <x:c r="I36" s="195"/>
      <x:c r="J36" s="195"/>
      <x:c r="K36" s="195"/>
      <x:c r="L36" s="195"/>
      <x:c r="M36" s="195"/>
      <x:c r="N36" s="195"/>
      <x:c r="O36" s="195"/>
      <x:c r="P36" s="195"/>
      <x:c r="Q36" s="195"/>
      <x:c r="R36" s="195"/>
      <x:c r="S36" s="195"/>
      <x:c r="T36" s="195"/>
      <x:c r="U36" s="195"/>
      <x:c r="V36" s="195"/>
      <x:c r="W36" s="195"/>
      <x:c r="X36" s="195"/>
      <x:c r="Y36" s="195"/>
      <x:c r="Z36" s="195"/>
    </x:row>
    <x:row r="37">
      <x:c r="A37" s="195"/>
      <x:c r="B37" s="195"/>
      <x:c r="C37" s="195"/>
      <x:c r="D37" s="195"/>
      <x:c r="E37" s="195"/>
      <x:c r="F37" s="195"/>
      <x:c r="G37" s="195"/>
      <x:c r="H37" s="195"/>
      <x:c r="I37" s="195"/>
      <x:c r="J37" s="195"/>
      <x:c r="K37" s="195"/>
      <x:c r="L37" s="195"/>
      <x:c r="M37" s="195"/>
      <x:c r="N37" s="195"/>
      <x:c r="O37" s="195"/>
      <x:c r="P37" s="195"/>
      <x:c r="Q37" s="195"/>
      <x:c r="R37" s="195"/>
      <x:c r="S37" s="195"/>
      <x:c r="T37" s="195"/>
      <x:c r="U37" s="195"/>
      <x:c r="V37" s="195"/>
      <x:c r="W37" s="195"/>
      <x:c r="X37" s="195"/>
      <x:c r="Y37" s="195"/>
      <x:c r="Z37" s="195"/>
    </x:row>
    <x:row r="38">
      <x:c r="A38" s="195"/>
      <x:c r="B38" s="195"/>
      <x:c r="C38" s="195"/>
      <x:c r="D38" s="195"/>
      <x:c r="E38" s="195"/>
      <x:c r="F38" s="195"/>
      <x:c r="G38" s="195"/>
      <x:c r="H38" s="195"/>
      <x:c r="I38" s="195"/>
      <x:c r="J38" s="195"/>
      <x:c r="K38" s="195"/>
      <x:c r="L38" s="195"/>
      <x:c r="M38" s="195"/>
      <x:c r="N38" s="195"/>
      <x:c r="O38" s="195"/>
      <x:c r="P38" s="195"/>
      <x:c r="Q38" s="195"/>
      <x:c r="R38" s="195"/>
      <x:c r="S38" s="195"/>
      <x:c r="T38" s="195"/>
      <x:c r="U38" s="195"/>
      <x:c r="V38" s="195"/>
      <x:c r="W38" s="195"/>
      <x:c r="X38" s="195"/>
      <x:c r="Y38" s="195"/>
      <x:c r="Z38" s="195"/>
    </x:row>
    <x:row r="39">
      <x:c r="A39" s="195"/>
      <x:c r="B39" s="195"/>
      <x:c r="C39" s="195"/>
      <x:c r="D39" s="195"/>
      <x:c r="E39" s="195"/>
      <x:c r="F39" s="195"/>
      <x:c r="G39" s="195"/>
      <x:c r="H39" s="195"/>
      <x:c r="I39" s="195"/>
      <x:c r="J39" s="195"/>
      <x:c r="K39" s="195"/>
      <x:c r="L39" s="195"/>
      <x:c r="M39" s="195"/>
      <x:c r="N39" s="195"/>
      <x:c r="O39" s="195"/>
      <x:c r="P39" s="195"/>
      <x:c r="Q39" s="195"/>
      <x:c r="R39" s="195"/>
      <x:c r="S39" s="195"/>
      <x:c r="T39" s="195"/>
      <x:c r="U39" s="195"/>
      <x:c r="V39" s="195"/>
      <x:c r="W39" s="195"/>
      <x:c r="X39" s="195"/>
      <x:c r="Y39" s="195"/>
      <x:c r="Z39" s="195"/>
    </x:row>
    <x:row r="40">
      <x:c r="A40" s="195"/>
      <x:c r="B40" s="195"/>
      <x:c r="C40" s="195"/>
      <x:c r="D40" s="195"/>
      <x:c r="E40" s="195"/>
      <x:c r="F40" s="195"/>
      <x:c r="G40" s="195"/>
      <x:c r="H40" s="195"/>
      <x:c r="I40" s="195"/>
      <x:c r="J40" s="195"/>
      <x:c r="K40" s="195"/>
      <x:c r="L40" s="195"/>
      <x:c r="M40" s="195"/>
      <x:c r="N40" s="195"/>
      <x:c r="O40" s="195"/>
      <x:c r="P40" s="195"/>
      <x:c r="Q40" s="195"/>
      <x:c r="R40" s="195"/>
      <x:c r="S40" s="195"/>
      <x:c r="T40" s="195"/>
      <x:c r="U40" s="195"/>
      <x:c r="V40" s="195"/>
      <x:c r="W40" s="195"/>
      <x:c r="X40" s="195"/>
      <x:c r="Y40" s="195"/>
      <x:c r="Z40" s="195"/>
    </x:row>
    <x:row r="41">
      <x:c r="A41" s="195"/>
      <x:c r="B41" s="195"/>
      <x:c r="C41" s="195"/>
      <x:c r="D41" s="195"/>
      <x:c r="E41" s="195"/>
      <x:c r="F41" s="195"/>
      <x:c r="G41" s="195"/>
      <x:c r="H41" s="195"/>
      <x:c r="I41" s="195"/>
      <x:c r="J41" s="195"/>
      <x:c r="K41" s="195"/>
      <x:c r="L41" s="195"/>
      <x:c r="M41" s="195"/>
      <x:c r="N41" s="195"/>
      <x:c r="O41" s="195"/>
      <x:c r="P41" s="195"/>
      <x:c r="Q41" s="195"/>
      <x:c r="R41" s="195"/>
      <x:c r="S41" s="195"/>
      <x:c r="T41" s="195"/>
      <x:c r="U41" s="195"/>
      <x:c r="V41" s="195"/>
      <x:c r="W41" s="195"/>
      <x:c r="X41" s="195"/>
      <x:c r="Y41" s="195"/>
      <x:c r="Z41" s="195"/>
    </x:row>
    <x:row r="42">
      <x:c r="A42" s="195"/>
      <x:c r="B42" s="195"/>
      <x:c r="C42" s="195"/>
      <x:c r="D42" s="195"/>
      <x:c r="E42" s="195"/>
      <x:c r="F42" s="195"/>
      <x:c r="G42" s="195"/>
      <x:c r="H42" s="195"/>
      <x:c r="I42" s="195"/>
      <x:c r="J42" s="195"/>
      <x:c r="K42" s="195"/>
      <x:c r="L42" s="195"/>
      <x:c r="M42" s="195"/>
      <x:c r="N42" s="195"/>
      <x:c r="O42" s="195"/>
      <x:c r="P42" s="195"/>
      <x:c r="Q42" s="195"/>
      <x:c r="R42" s="195"/>
      <x:c r="S42" s="195"/>
      <x:c r="T42" s="195"/>
      <x:c r="U42" s="195"/>
      <x:c r="V42" s="195"/>
      <x:c r="W42" s="195"/>
      <x:c r="X42" s="195"/>
      <x:c r="Y42" s="195"/>
      <x:c r="Z42" s="195"/>
    </x:row>
    <x:row r="43">
      <x:c r="A43" s="195"/>
      <x:c r="B43" s="195"/>
      <x:c r="C43" s="195"/>
      <x:c r="D43" s="195"/>
      <x:c r="E43" s="195"/>
      <x:c r="F43" s="195"/>
      <x:c r="G43" s="195"/>
      <x:c r="H43" s="195"/>
      <x:c r="I43" s="195"/>
      <x:c r="J43" s="195"/>
      <x:c r="K43" s="195"/>
      <x:c r="L43" s="195"/>
      <x:c r="M43" s="195"/>
      <x:c r="N43" s="195"/>
      <x:c r="O43" s="195"/>
      <x:c r="P43" s="195"/>
      <x:c r="Q43" s="195"/>
      <x:c r="R43" s="195"/>
      <x:c r="S43" s="195"/>
      <x:c r="T43" s="195"/>
      <x:c r="U43" s="195"/>
      <x:c r="V43" s="195"/>
      <x:c r="W43" s="195"/>
      <x:c r="X43" s="195"/>
      <x:c r="Y43" s="195"/>
      <x:c r="Z43" s="195"/>
    </x:row>
    <x:row r="44">
      <x:c r="A44" s="195"/>
      <x:c r="B44" s="195"/>
      <x:c r="C44" s="195"/>
      <x:c r="D44" s="195"/>
      <x:c r="E44" s="195"/>
      <x:c r="F44" s="195"/>
      <x:c r="G44" s="195"/>
      <x:c r="H44" s="195"/>
      <x:c r="I44" s="195"/>
      <x:c r="J44" s="195"/>
      <x:c r="K44" s="195"/>
      <x:c r="L44" s="195"/>
      <x:c r="M44" s="195"/>
      <x:c r="N44" s="195"/>
      <x:c r="O44" s="195"/>
      <x:c r="P44" s="195"/>
      <x:c r="Q44" s="195"/>
      <x:c r="R44" s="195"/>
      <x:c r="S44" s="195"/>
      <x:c r="T44" s="195"/>
      <x:c r="U44" s="195"/>
      <x:c r="V44" s="195"/>
      <x:c r="W44" s="195"/>
      <x:c r="X44" s="195"/>
      <x:c r="Y44" s="195"/>
      <x:c r="Z44" s="195"/>
    </x:row>
    <x:row r="45">
      <x:c r="A45" s="195"/>
      <x:c r="B45" s="195"/>
      <x:c r="C45" s="195"/>
      <x:c r="D45" s="195"/>
      <x:c r="E45" s="195"/>
      <x:c r="F45" s="195"/>
      <x:c r="G45" s="195"/>
      <x:c r="H45" s="195"/>
      <x:c r="I45" s="195"/>
      <x:c r="J45" s="195"/>
      <x:c r="K45" s="195"/>
      <x:c r="L45" s="195"/>
      <x:c r="M45" s="195"/>
      <x:c r="N45" s="195"/>
      <x:c r="O45" s="195"/>
      <x:c r="P45" s="195"/>
      <x:c r="Q45" s="195"/>
      <x:c r="R45" s="195"/>
      <x:c r="S45" s="195"/>
      <x:c r="T45" s="195"/>
      <x:c r="U45" s="195"/>
      <x:c r="V45" s="195"/>
      <x:c r="W45" s="195"/>
      <x:c r="X45" s="195"/>
      <x:c r="Y45" s="195"/>
      <x:c r="Z45" s="195"/>
    </x:row>
    <x:row r="46">
      <x:c r="A46" s="195"/>
      <x:c r="B46" s="195"/>
      <x:c r="C46" s="195"/>
      <x:c r="D46" s="195"/>
      <x:c r="E46" s="195"/>
      <x:c r="F46" s="195"/>
      <x:c r="G46" s="195"/>
      <x:c r="H46" s="195"/>
      <x:c r="I46" s="195"/>
      <x:c r="J46" s="195"/>
      <x:c r="K46" s="195"/>
      <x:c r="L46" s="195"/>
      <x:c r="M46" s="195"/>
      <x:c r="N46" s="195"/>
      <x:c r="O46" s="195"/>
      <x:c r="P46" s="195"/>
      <x:c r="Q46" s="195"/>
      <x:c r="R46" s="195"/>
      <x:c r="S46" s="195"/>
      <x:c r="T46" s="195"/>
      <x:c r="U46" s="195"/>
      <x:c r="V46" s="195"/>
      <x:c r="W46" s="195"/>
      <x:c r="X46" s="195"/>
      <x:c r="Y46" s="195"/>
      <x:c r="Z46" s="195"/>
    </x:row>
    <x:row r="47">
      <x:c r="A47" s="195"/>
      <x:c r="B47" s="195"/>
      <x:c r="C47" s="195"/>
      <x:c r="D47" s="195"/>
      <x:c r="E47" s="195"/>
      <x:c r="F47" s="195"/>
      <x:c r="G47" s="195"/>
      <x:c r="H47" s="195"/>
      <x:c r="I47" s="195"/>
      <x:c r="J47" s="195"/>
      <x:c r="K47" s="195"/>
      <x:c r="L47" s="195"/>
      <x:c r="M47" s="195"/>
      <x:c r="N47" s="195"/>
      <x:c r="O47" s="195"/>
      <x:c r="P47" s="195"/>
      <x:c r="Q47" s="195"/>
      <x:c r="R47" s="195"/>
      <x:c r="S47" s="195"/>
      <x:c r="T47" s="195"/>
      <x:c r="U47" s="195"/>
      <x:c r="V47" s="195"/>
      <x:c r="W47" s="195"/>
      <x:c r="X47" s="195"/>
      <x:c r="Y47" s="195"/>
      <x:c r="Z47" s="195"/>
    </x:row>
    <x:row r="48">
      <x:c r="A48" s="195"/>
      <x:c r="B48" s="195"/>
      <x:c r="C48" s="195"/>
      <x:c r="D48" s="195"/>
      <x:c r="E48" s="195"/>
      <x:c r="F48" s="195"/>
      <x:c r="G48" s="195"/>
      <x:c r="H48" s="195"/>
      <x:c r="I48" s="195"/>
      <x:c r="J48" s="195"/>
      <x:c r="K48" s="195"/>
      <x:c r="L48" s="195"/>
      <x:c r="M48" s="195"/>
      <x:c r="N48" s="195"/>
      <x:c r="O48" s="195"/>
      <x:c r="P48" s="195"/>
      <x:c r="Q48" s="195"/>
      <x:c r="R48" s="195"/>
      <x:c r="S48" s="195"/>
      <x:c r="T48" s="195"/>
      <x:c r="U48" s="195"/>
      <x:c r="V48" s="195"/>
      <x:c r="W48" s="195"/>
      <x:c r="X48" s="195"/>
      <x:c r="Y48" s="195"/>
      <x:c r="Z48" s="195"/>
    </x:row>
    <x:row r="49">
      <x:c r="A49" s="195"/>
      <x:c r="B49" s="195"/>
      <x:c r="C49" s="195"/>
      <x:c r="D49" s="195"/>
      <x:c r="E49" s="195"/>
      <x:c r="F49" s="195"/>
      <x:c r="G49" s="195"/>
      <x:c r="H49" s="195"/>
      <x:c r="I49" s="195"/>
      <x:c r="J49" s="195"/>
      <x:c r="K49" s="195"/>
      <x:c r="L49" s="195"/>
      <x:c r="M49" s="195"/>
      <x:c r="N49" s="195"/>
      <x:c r="O49" s="195"/>
      <x:c r="P49" s="195"/>
      <x:c r="Q49" s="195"/>
      <x:c r="R49" s="195"/>
      <x:c r="S49" s="195"/>
      <x:c r="T49" s="195"/>
      <x:c r="U49" s="195"/>
      <x:c r="V49" s="195"/>
      <x:c r="W49" s="195"/>
      <x:c r="X49" s="195"/>
      <x:c r="Y49" s="195"/>
      <x:c r="Z49" s="195"/>
    </x:row>
    <x:row r="50">
      <x:c r="A50" s="195"/>
      <x:c r="B50" s="195"/>
      <x:c r="C50" s="195"/>
      <x:c r="D50" s="195"/>
      <x:c r="E50" s="195"/>
      <x:c r="F50" s="195"/>
      <x:c r="G50" s="195"/>
      <x:c r="H50" s="195"/>
      <x:c r="I50" s="195"/>
      <x:c r="J50" s="195"/>
      <x:c r="K50" s="195"/>
      <x:c r="L50" s="195"/>
      <x:c r="M50" s="195"/>
      <x:c r="N50" s="195"/>
      <x:c r="O50" s="195"/>
      <x:c r="P50" s="195"/>
      <x:c r="Q50" s="195"/>
      <x:c r="R50" s="195"/>
      <x:c r="S50" s="195"/>
      <x:c r="T50" s="195"/>
      <x:c r="U50" s="195"/>
      <x:c r="V50" s="195"/>
      <x:c r="W50" s="195"/>
      <x:c r="X50" s="195"/>
      <x:c r="Y50" s="195"/>
      <x:c r="Z50" s="195"/>
    </x:row>
    <x:row r="51">
      <x:c r="A51" s="195"/>
      <x:c r="B51" s="195"/>
      <x:c r="C51" s="195"/>
      <x:c r="D51" s="195"/>
      <x:c r="E51" s="195"/>
      <x:c r="F51" s="195"/>
      <x:c r="G51" s="195"/>
      <x:c r="H51" s="195"/>
      <x:c r="I51" s="195"/>
      <x:c r="J51" s="195"/>
      <x:c r="K51" s="195"/>
      <x:c r="L51" s="195"/>
      <x:c r="M51" s="195"/>
      <x:c r="N51" s="195"/>
      <x:c r="O51" s="195"/>
      <x:c r="P51" s="195"/>
      <x:c r="Q51" s="195"/>
      <x:c r="R51" s="195"/>
      <x:c r="S51" s="195"/>
      <x:c r="T51" s="195"/>
      <x:c r="U51" s="195"/>
      <x:c r="V51" s="195"/>
      <x:c r="W51" s="195"/>
      <x:c r="X51" s="195"/>
      <x:c r="Y51" s="195"/>
      <x:c r="Z51" s="195"/>
    </x:row>
    <x:row r="52">
      <x:c r="A52" s="195"/>
      <x:c r="B52" s="195"/>
      <x:c r="C52" s="195"/>
      <x:c r="D52" s="195"/>
      <x:c r="E52" s="195"/>
      <x:c r="F52" s="195"/>
      <x:c r="G52" s="195"/>
      <x:c r="H52" s="195"/>
      <x:c r="I52" s="195"/>
      <x:c r="J52" s="195"/>
      <x:c r="K52" s="195"/>
      <x:c r="L52" s="195"/>
      <x:c r="M52" s="195"/>
      <x:c r="N52" s="195"/>
      <x:c r="O52" s="195"/>
      <x:c r="P52" s="195"/>
      <x:c r="Q52" s="195"/>
      <x:c r="R52" s="195"/>
      <x:c r="S52" s="195"/>
      <x:c r="T52" s="195"/>
      <x:c r="U52" s="195"/>
      <x:c r="V52" s="195"/>
      <x:c r="W52" s="195"/>
      <x:c r="X52" s="195"/>
      <x:c r="Y52" s="195"/>
      <x:c r="Z52" s="195"/>
    </x:row>
    <x:row r="53">
      <x:c r="A53" s="195"/>
      <x:c r="B53" s="195"/>
      <x:c r="C53" s="195"/>
      <x:c r="D53" s="195"/>
      <x:c r="E53" s="195"/>
      <x:c r="F53" s="195"/>
      <x:c r="G53" s="195"/>
      <x:c r="H53" s="195"/>
      <x:c r="I53" s="195"/>
      <x:c r="J53" s="195"/>
      <x:c r="K53" s="195"/>
      <x:c r="L53" s="195"/>
      <x:c r="M53" s="195"/>
      <x:c r="N53" s="195"/>
      <x:c r="O53" s="195"/>
      <x:c r="P53" s="195"/>
      <x:c r="Q53" s="195"/>
      <x:c r="R53" s="195"/>
      <x:c r="S53" s="195"/>
      <x:c r="T53" s="195"/>
      <x:c r="U53" s="195"/>
      <x:c r="V53" s="195"/>
      <x:c r="W53" s="195"/>
      <x:c r="X53" s="195"/>
      <x:c r="Y53" s="195"/>
      <x:c r="Z53" s="195"/>
    </x:row>
    <x:row r="54">
      <x:c r="A54" s="195"/>
      <x:c r="B54" s="195"/>
      <x:c r="C54" s="195"/>
      <x:c r="D54" s="195"/>
      <x:c r="E54" s="195"/>
      <x:c r="F54" s="195"/>
      <x:c r="G54" s="195"/>
      <x:c r="H54" s="195"/>
      <x:c r="I54" s="195"/>
      <x:c r="J54" s="195"/>
      <x:c r="K54" s="195"/>
      <x:c r="L54" s="195"/>
      <x:c r="M54" s="195"/>
      <x:c r="N54" s="195"/>
      <x:c r="O54" s="195"/>
      <x:c r="P54" s="195"/>
      <x:c r="Q54" s="195"/>
      <x:c r="R54" s="195"/>
      <x:c r="S54" s="195"/>
      <x:c r="T54" s="195"/>
      <x:c r="U54" s="195"/>
      <x:c r="V54" s="195"/>
      <x:c r="W54" s="195"/>
      <x:c r="X54" s="195"/>
      <x:c r="Y54" s="195"/>
      <x:c r="Z54" s="195"/>
    </x:row>
    <x:row r="55">
      <x:c r="A55" s="195"/>
      <x:c r="B55" s="195"/>
      <x:c r="C55" s="195"/>
      <x:c r="D55" s="195"/>
      <x:c r="E55" s="195"/>
      <x:c r="F55" s="195"/>
      <x:c r="G55" s="195"/>
      <x:c r="H55" s="195"/>
      <x:c r="I55" s="195"/>
      <x:c r="J55" s="195"/>
      <x:c r="K55" s="195"/>
      <x:c r="L55" s="195"/>
      <x:c r="M55" s="195"/>
      <x:c r="N55" s="195"/>
      <x:c r="O55" s="195"/>
      <x:c r="P55" s="195"/>
      <x:c r="Q55" s="195"/>
      <x:c r="R55" s="195"/>
      <x:c r="S55" s="195"/>
      <x:c r="T55" s="195"/>
      <x:c r="U55" s="195"/>
      <x:c r="V55" s="195"/>
      <x:c r="W55" s="195"/>
      <x:c r="X55" s="195"/>
      <x:c r="Y55" s="195"/>
      <x:c r="Z55" s="195"/>
    </x:row>
    <x:row r="56">
      <x:c r="A56" s="195"/>
      <x:c r="B56" s="195"/>
      <x:c r="C56" s="195"/>
      <x:c r="D56" s="195"/>
      <x:c r="E56" s="195"/>
      <x:c r="F56" s="195"/>
      <x:c r="G56" s="195"/>
      <x:c r="H56" s="195"/>
      <x:c r="I56" s="195"/>
      <x:c r="J56" s="195"/>
      <x:c r="K56" s="195"/>
      <x:c r="L56" s="195"/>
      <x:c r="M56" s="195"/>
      <x:c r="N56" s="195"/>
      <x:c r="O56" s="195"/>
      <x:c r="P56" s="195"/>
      <x:c r="Q56" s="195"/>
      <x:c r="R56" s="195"/>
      <x:c r="S56" s="195"/>
      <x:c r="T56" s="195"/>
      <x:c r="U56" s="195"/>
      <x:c r="V56" s="195"/>
      <x:c r="W56" s="195"/>
      <x:c r="X56" s="195"/>
      <x:c r="Y56" s="195"/>
      <x:c r="Z56" s="195"/>
    </x:row>
    <x:row r="57">
      <x:c r="A57" s="195"/>
      <x:c r="B57" s="195"/>
      <x:c r="C57" s="195"/>
      <x:c r="D57" s="195"/>
      <x:c r="E57" s="195"/>
      <x:c r="F57" s="195"/>
      <x:c r="G57" s="195"/>
      <x:c r="H57" s="195"/>
      <x:c r="I57" s="195"/>
      <x:c r="J57" s="195"/>
      <x:c r="K57" s="195"/>
      <x:c r="L57" s="195"/>
      <x:c r="M57" s="195"/>
      <x:c r="N57" s="195"/>
      <x:c r="O57" s="195"/>
      <x:c r="P57" s="195"/>
      <x:c r="Q57" s="195"/>
      <x:c r="R57" s="195"/>
      <x:c r="S57" s="195"/>
      <x:c r="T57" s="195"/>
      <x:c r="U57" s="195"/>
      <x:c r="V57" s="195"/>
      <x:c r="W57" s="195"/>
      <x:c r="X57" s="195"/>
      <x:c r="Y57" s="195"/>
      <x:c r="Z57" s="195"/>
    </x:row>
    <x:row r="58">
      <x:c r="A58" s="195"/>
      <x:c r="B58" s="195"/>
      <x:c r="C58" s="195"/>
      <x:c r="D58" s="195"/>
      <x:c r="E58" s="195"/>
      <x:c r="F58" s="195"/>
      <x:c r="G58" s="195"/>
      <x:c r="H58" s="195"/>
      <x:c r="I58" s="195"/>
      <x:c r="J58" s="195"/>
      <x:c r="K58" s="195"/>
      <x:c r="L58" s="195"/>
      <x:c r="M58" s="195"/>
      <x:c r="N58" s="195"/>
      <x:c r="O58" s="195"/>
      <x:c r="P58" s="195"/>
      <x:c r="Q58" s="195"/>
      <x:c r="R58" s="195"/>
      <x:c r="S58" s="195"/>
      <x:c r="T58" s="195"/>
      <x:c r="U58" s="195"/>
      <x:c r="V58" s="195"/>
      <x:c r="W58" s="195"/>
      <x:c r="X58" s="195"/>
      <x:c r="Y58" s="195"/>
      <x:c r="Z58" s="195"/>
    </x:row>
    <x:row r="59">
      <x:c r="A59" s="195"/>
      <x:c r="B59" s="195"/>
      <x:c r="C59" s="195"/>
      <x:c r="D59" s="195"/>
      <x:c r="E59" s="195"/>
      <x:c r="F59" s="195"/>
      <x:c r="G59" s="195"/>
      <x:c r="H59" s="195"/>
      <x:c r="I59" s="195"/>
      <x:c r="J59" s="195"/>
      <x:c r="K59" s="195"/>
      <x:c r="L59" s="195"/>
      <x:c r="M59" s="195"/>
      <x:c r="N59" s="195"/>
      <x:c r="O59" s="195"/>
      <x:c r="P59" s="195"/>
      <x:c r="Q59" s="195"/>
      <x:c r="R59" s="195"/>
      <x:c r="S59" s="195"/>
      <x:c r="T59" s="195"/>
      <x:c r="U59" s="195"/>
      <x:c r="V59" s="195"/>
      <x:c r="W59" s="195"/>
      <x:c r="X59" s="195"/>
      <x:c r="Y59" s="195"/>
      <x:c r="Z59" s="195"/>
    </x:row>
    <x:row r="60">
      <x:c r="A60" s="195"/>
      <x:c r="B60" s="195"/>
      <x:c r="C60" s="195"/>
      <x:c r="D60" s="195"/>
      <x:c r="E60" s="195"/>
      <x:c r="F60" s="195"/>
      <x:c r="G60" s="195"/>
      <x:c r="H60" s="195"/>
      <x:c r="I60" s="195"/>
      <x:c r="J60" s="195"/>
      <x:c r="K60" s="195"/>
      <x:c r="L60" s="195"/>
      <x:c r="M60" s="195"/>
      <x:c r="N60" s="195"/>
      <x:c r="O60" s="195"/>
      <x:c r="P60" s="195"/>
      <x:c r="Q60" s="195"/>
      <x:c r="R60" s="195"/>
      <x:c r="S60" s="195"/>
      <x:c r="T60" s="195"/>
      <x:c r="U60" s="195"/>
      <x:c r="V60" s="195"/>
      <x:c r="W60" s="195"/>
      <x:c r="X60" s="195"/>
      <x:c r="Y60" s="195"/>
      <x:c r="Z60" s="195"/>
    </x:row>
    <x:row r="61">
      <x:c r="A61" s="195"/>
      <x:c r="B61" s="195"/>
      <x:c r="C61" s="195"/>
      <x:c r="D61" s="195"/>
      <x:c r="E61" s="195"/>
      <x:c r="F61" s="195"/>
      <x:c r="G61" s="195"/>
      <x:c r="H61" s="195"/>
      <x:c r="I61" s="195"/>
      <x:c r="J61" s="195"/>
      <x:c r="K61" s="195"/>
      <x:c r="L61" s="195"/>
      <x:c r="M61" s="195"/>
      <x:c r="N61" s="195"/>
      <x:c r="O61" s="195"/>
      <x:c r="P61" s="195"/>
      <x:c r="Q61" s="195"/>
      <x:c r="R61" s="195"/>
      <x:c r="S61" s="195"/>
      <x:c r="T61" s="195"/>
      <x:c r="U61" s="195"/>
      <x:c r="V61" s="195"/>
      <x:c r="W61" s="195"/>
      <x:c r="X61" s="195"/>
      <x:c r="Y61" s="195"/>
      <x:c r="Z61" s="195"/>
    </x:row>
    <x:row r="62">
      <x:c r="A62" s="195"/>
      <x:c r="B62" s="195"/>
      <x:c r="C62" s="195"/>
      <x:c r="D62" s="195"/>
      <x:c r="E62" s="195"/>
      <x:c r="F62" s="195"/>
      <x:c r="G62" s="195"/>
      <x:c r="H62" s="195"/>
      <x:c r="I62" s="195"/>
      <x:c r="J62" s="195"/>
      <x:c r="K62" s="195"/>
      <x:c r="L62" s="195"/>
      <x:c r="M62" s="195"/>
      <x:c r="N62" s="195"/>
      <x:c r="O62" s="195"/>
      <x:c r="P62" s="195"/>
      <x:c r="Q62" s="195"/>
      <x:c r="R62" s="195"/>
      <x:c r="S62" s="195"/>
      <x:c r="T62" s="195"/>
      <x:c r="U62" s="195"/>
      <x:c r="V62" s="195"/>
      <x:c r="W62" s="195"/>
      <x:c r="X62" s="195"/>
      <x:c r="Y62" s="195"/>
      <x:c r="Z62" s="195"/>
    </x:row>
    <x:row r="63">
      <x:c r="A63" s="195"/>
      <x:c r="B63" s="195"/>
      <x:c r="C63" s="195"/>
      <x:c r="D63" s="195"/>
      <x:c r="E63" s="195"/>
      <x:c r="F63" s="195"/>
      <x:c r="G63" s="195"/>
      <x:c r="H63" s="195"/>
      <x:c r="I63" s="195"/>
      <x:c r="J63" s="195"/>
      <x:c r="K63" s="195"/>
      <x:c r="L63" s="195"/>
      <x:c r="M63" s="195"/>
      <x:c r="N63" s="195"/>
      <x:c r="O63" s="195"/>
      <x:c r="P63" s="195"/>
      <x:c r="Q63" s="195"/>
      <x:c r="R63" s="195"/>
      <x:c r="S63" s="195"/>
      <x:c r="T63" s="195"/>
      <x:c r="U63" s="195"/>
      <x:c r="V63" s="195"/>
      <x:c r="W63" s="195"/>
      <x:c r="X63" s="195"/>
      <x:c r="Y63" s="195"/>
      <x:c r="Z63" s="195"/>
    </x:row>
    <x:row r="64">
      <x:c r="A64" s="195"/>
      <x:c r="B64" s="195"/>
      <x:c r="C64" s="195"/>
      <x:c r="D64" s="195"/>
      <x:c r="E64" s="195"/>
      <x:c r="F64" s="195"/>
      <x:c r="G64" s="195"/>
      <x:c r="H64" s="195"/>
      <x:c r="I64" s="195"/>
      <x:c r="J64" s="195"/>
      <x:c r="K64" s="195"/>
      <x:c r="L64" s="195"/>
      <x:c r="M64" s="195"/>
      <x:c r="N64" s="195"/>
      <x:c r="O64" s="195"/>
      <x:c r="P64" s="195"/>
      <x:c r="Q64" s="195"/>
      <x:c r="R64" s="195"/>
      <x:c r="S64" s="195"/>
      <x:c r="T64" s="195"/>
      <x:c r="U64" s="195"/>
      <x:c r="V64" s="195"/>
      <x:c r="W64" s="195"/>
      <x:c r="X64" s="195"/>
      <x:c r="Y64" s="195"/>
      <x:c r="Z64" s="195"/>
    </x:row>
    <x:row r="65">
      <x:c r="A65" s="195"/>
      <x:c r="B65" s="195"/>
      <x:c r="C65" s="195"/>
      <x:c r="D65" s="195"/>
      <x:c r="E65" s="195"/>
      <x:c r="F65" s="195"/>
      <x:c r="G65" s="195"/>
      <x:c r="H65" s="195"/>
      <x:c r="I65" s="195"/>
      <x:c r="J65" s="195"/>
      <x:c r="K65" s="195"/>
      <x:c r="L65" s="195"/>
      <x:c r="M65" s="195"/>
      <x:c r="N65" s="195"/>
      <x:c r="O65" s="195"/>
      <x:c r="P65" s="195"/>
      <x:c r="Q65" s="195"/>
      <x:c r="R65" s="195"/>
      <x:c r="S65" s="195"/>
      <x:c r="T65" s="195"/>
      <x:c r="U65" s="195"/>
      <x:c r="V65" s="195"/>
      <x:c r="W65" s="195"/>
      <x:c r="X65" s="195"/>
      <x:c r="Y65" s="195"/>
      <x:c r="Z65" s="195"/>
    </x:row>
    <x:row r="66">
      <x:c r="A66" s="195"/>
      <x:c r="B66" s="195"/>
      <x:c r="C66" s="195"/>
      <x:c r="D66" s="195"/>
      <x:c r="E66" s="195"/>
      <x:c r="F66" s="195"/>
      <x:c r="G66" s="195"/>
      <x:c r="H66" s="195"/>
      <x:c r="I66" s="195"/>
      <x:c r="J66" s="195"/>
      <x:c r="K66" s="195"/>
      <x:c r="L66" s="195"/>
      <x:c r="M66" s="195"/>
      <x:c r="N66" s="195"/>
      <x:c r="O66" s="195"/>
      <x:c r="P66" s="195"/>
      <x:c r="Q66" s="195"/>
      <x:c r="R66" s="195"/>
      <x:c r="S66" s="195"/>
      <x:c r="T66" s="195"/>
      <x:c r="U66" s="195"/>
      <x:c r="V66" s="195"/>
      <x:c r="W66" s="195"/>
      <x:c r="X66" s="195"/>
      <x:c r="Y66" s="195"/>
      <x:c r="Z66" s="195"/>
    </x:row>
    <x:row r="67">
      <x:c r="A67" s="195"/>
      <x:c r="B67" s="195"/>
      <x:c r="C67" s="195"/>
      <x:c r="D67" s="195"/>
      <x:c r="E67" s="195"/>
      <x:c r="F67" s="195"/>
      <x:c r="G67" s="195"/>
      <x:c r="H67" s="195"/>
      <x:c r="I67" s="195"/>
      <x:c r="J67" s="195"/>
      <x:c r="K67" s="195"/>
      <x:c r="L67" s="195"/>
      <x:c r="M67" s="195"/>
      <x:c r="N67" s="195"/>
      <x:c r="O67" s="195"/>
      <x:c r="P67" s="195"/>
      <x:c r="Q67" s="195"/>
      <x:c r="R67" s="195"/>
      <x:c r="S67" s="195"/>
      <x:c r="T67" s="195"/>
      <x:c r="U67" s="195"/>
      <x:c r="V67" s="195"/>
      <x:c r="W67" s="195"/>
      <x:c r="X67" s="195"/>
      <x:c r="Y67" s="195"/>
      <x:c r="Z67" s="195"/>
    </x:row>
    <x:row r="68">
      <x:c r="A68" s="195"/>
      <x:c r="B68" s="195"/>
      <x:c r="C68" s="195"/>
      <x:c r="D68" s="195"/>
      <x:c r="E68" s="195"/>
      <x:c r="F68" s="195"/>
      <x:c r="G68" s="195"/>
      <x:c r="H68" s="195"/>
      <x:c r="I68" s="195"/>
      <x:c r="J68" s="195"/>
      <x:c r="K68" s="195"/>
      <x:c r="L68" s="195"/>
      <x:c r="M68" s="195"/>
      <x:c r="N68" s="195"/>
      <x:c r="O68" s="195"/>
      <x:c r="P68" s="195"/>
      <x:c r="Q68" s="195"/>
      <x:c r="R68" s="195"/>
      <x:c r="S68" s="195"/>
      <x:c r="T68" s="195"/>
      <x:c r="U68" s="195"/>
      <x:c r="V68" s="195"/>
      <x:c r="W68" s="195"/>
      <x:c r="X68" s="195"/>
      <x:c r="Y68" s="195"/>
      <x:c r="Z68" s="195"/>
    </x:row>
    <x:row r="69">
      <x:c r="A69" s="195"/>
      <x:c r="B69" s="195"/>
      <x:c r="C69" s="195"/>
      <x:c r="D69" s="195"/>
      <x:c r="E69" s="195"/>
      <x:c r="F69" s="195"/>
      <x:c r="G69" s="195"/>
      <x:c r="H69" s="195"/>
      <x:c r="I69" s="195"/>
      <x:c r="J69" s="195"/>
      <x:c r="K69" s="195"/>
      <x:c r="L69" s="195"/>
      <x:c r="M69" s="195"/>
      <x:c r="N69" s="195"/>
      <x:c r="O69" s="195"/>
      <x:c r="P69" s="195"/>
      <x:c r="Q69" s="195"/>
      <x:c r="R69" s="195"/>
      <x:c r="S69" s="195"/>
      <x:c r="T69" s="195"/>
      <x:c r="U69" s="195"/>
      <x:c r="V69" s="195"/>
      <x:c r="W69" s="195"/>
      <x:c r="X69" s="195"/>
      <x:c r="Y69" s="195"/>
      <x:c r="Z69" s="195"/>
    </x:row>
    <x:row r="70">
      <x:c r="A70" s="195"/>
      <x:c r="B70" s="195"/>
      <x:c r="C70" s="195"/>
      <x:c r="D70" s="195"/>
      <x:c r="E70" s="195"/>
      <x:c r="F70" s="195"/>
      <x:c r="G70" s="195"/>
      <x:c r="H70" s="195"/>
      <x:c r="I70" s="195"/>
      <x:c r="J70" s="195"/>
      <x:c r="K70" s="195"/>
      <x:c r="L70" s="195"/>
      <x:c r="M70" s="195"/>
      <x:c r="N70" s="195"/>
      <x:c r="O70" s="195"/>
      <x:c r="P70" s="195"/>
      <x:c r="Q70" s="195"/>
      <x:c r="R70" s="195"/>
      <x:c r="S70" s="195"/>
      <x:c r="T70" s="195"/>
      <x:c r="U70" s="195"/>
      <x:c r="V70" s="195"/>
      <x:c r="W70" s="195"/>
      <x:c r="X70" s="195"/>
      <x:c r="Y70" s="195"/>
      <x:c r="Z70" s="195"/>
    </x:row>
    <x:row r="71">
      <x:c r="A71" s="195"/>
      <x:c r="B71" s="195"/>
      <x:c r="C71" s="195"/>
      <x:c r="D71" s="195"/>
      <x:c r="E71" s="195"/>
      <x:c r="F71" s="195"/>
      <x:c r="G71" s="195"/>
      <x:c r="H71" s="195"/>
      <x:c r="I71" s="195"/>
      <x:c r="J71" s="195"/>
      <x:c r="K71" s="195"/>
      <x:c r="L71" s="195"/>
      <x:c r="M71" s="195"/>
      <x:c r="N71" s="195"/>
      <x:c r="O71" s="195"/>
      <x:c r="P71" s="195"/>
      <x:c r="Q71" s="195"/>
      <x:c r="R71" s="195"/>
      <x:c r="S71" s="195"/>
      <x:c r="T71" s="195"/>
      <x:c r="U71" s="195"/>
      <x:c r="V71" s="195"/>
      <x:c r="W71" s="195"/>
      <x:c r="X71" s="195"/>
      <x:c r="Y71" s="195"/>
      <x:c r="Z71" s="195"/>
    </x:row>
    <x:row r="72">
      <x:c r="A72" s="195"/>
      <x:c r="B72" s="195"/>
      <x:c r="C72" s="195"/>
      <x:c r="D72" s="195"/>
      <x:c r="E72" s="195"/>
      <x:c r="F72" s="195"/>
      <x:c r="G72" s="195"/>
      <x:c r="H72" s="195"/>
      <x:c r="I72" s="195"/>
      <x:c r="J72" s="195"/>
      <x:c r="K72" s="195"/>
      <x:c r="L72" s="195"/>
      <x:c r="M72" s="195"/>
      <x:c r="N72" s="195"/>
      <x:c r="O72" s="195"/>
      <x:c r="P72" s="195"/>
      <x:c r="Q72" s="195"/>
      <x:c r="R72" s="195"/>
      <x:c r="S72" s="195"/>
      <x:c r="T72" s="195"/>
      <x:c r="U72" s="195"/>
      <x:c r="V72" s="195"/>
      <x:c r="W72" s="195"/>
      <x:c r="X72" s="195"/>
      <x:c r="Y72" s="195"/>
      <x:c r="Z72" s="195"/>
    </x:row>
    <x:row r="73">
      <x:c r="A73" s="195"/>
      <x:c r="B73" s="195"/>
      <x:c r="C73" s="195"/>
      <x:c r="D73" s="195"/>
      <x:c r="E73" s="195"/>
      <x:c r="F73" s="195"/>
      <x:c r="G73" s="195"/>
      <x:c r="H73" s="195"/>
      <x:c r="I73" s="195"/>
      <x:c r="J73" s="195"/>
      <x:c r="K73" s="195"/>
      <x:c r="L73" s="195"/>
      <x:c r="M73" s="195"/>
      <x:c r="N73" s="195"/>
      <x:c r="O73" s="195"/>
      <x:c r="P73" s="195"/>
      <x:c r="Q73" s="195"/>
      <x:c r="R73" s="195"/>
      <x:c r="S73" s="195"/>
      <x:c r="T73" s="195"/>
      <x:c r="U73" s="195"/>
      <x:c r="V73" s="195"/>
      <x:c r="W73" s="195"/>
      <x:c r="X73" s="195"/>
      <x:c r="Y73" s="195"/>
      <x:c r="Z73" s="195"/>
    </x:row>
    <x:row r="74">
      <x:c r="A74" s="195"/>
      <x:c r="B74" s="195"/>
      <x:c r="C74" s="195"/>
      <x:c r="D74" s="195"/>
      <x:c r="E74" s="195"/>
      <x:c r="F74" s="195"/>
      <x:c r="G74" s="195"/>
      <x:c r="H74" s="195"/>
      <x:c r="I74" s="195"/>
      <x:c r="J74" s="195"/>
      <x:c r="K74" s="195"/>
      <x:c r="L74" s="195"/>
      <x:c r="M74" s="195"/>
      <x:c r="N74" s="195"/>
      <x:c r="O74" s="195"/>
      <x:c r="P74" s="195"/>
      <x:c r="Q74" s="195"/>
      <x:c r="R74" s="195"/>
      <x:c r="S74" s="195"/>
      <x:c r="T74" s="195"/>
      <x:c r="U74" s="195"/>
      <x:c r="V74" s="195"/>
      <x:c r="W74" s="195"/>
      <x:c r="X74" s="195"/>
      <x:c r="Y74" s="195"/>
      <x:c r="Z74" s="195"/>
    </x:row>
    <x:row r="75">
      <x:c r="A75" s="195"/>
      <x:c r="B75" s="195"/>
      <x:c r="C75" s="195"/>
      <x:c r="D75" s="195"/>
      <x:c r="E75" s="195"/>
      <x:c r="F75" s="195"/>
      <x:c r="G75" s="195"/>
      <x:c r="H75" s="195"/>
      <x:c r="I75" s="195"/>
      <x:c r="J75" s="195"/>
      <x:c r="K75" s="195"/>
      <x:c r="L75" s="195"/>
      <x:c r="M75" s="195"/>
      <x:c r="N75" s="195"/>
      <x:c r="O75" s="195"/>
      <x:c r="P75" s="195"/>
      <x:c r="Q75" s="195"/>
      <x:c r="R75" s="195"/>
      <x:c r="S75" s="195"/>
      <x:c r="T75" s="195"/>
      <x:c r="U75" s="195"/>
      <x:c r="V75" s="195"/>
      <x:c r="W75" s="195"/>
      <x:c r="X75" s="195"/>
      <x:c r="Y75" s="195"/>
      <x:c r="Z75" s="195"/>
    </x:row>
    <x:row r="76">
      <x:c r="A76" s="195"/>
      <x:c r="B76" s="195"/>
      <x:c r="C76" s="195"/>
      <x:c r="D76" s="195"/>
      <x:c r="E76" s="195"/>
      <x:c r="F76" s="195"/>
      <x:c r="G76" s="195"/>
      <x:c r="H76" s="195"/>
      <x:c r="I76" s="195"/>
      <x:c r="J76" s="195"/>
      <x:c r="K76" s="195"/>
      <x:c r="L76" s="195"/>
      <x:c r="M76" s="195"/>
      <x:c r="N76" s="195"/>
      <x:c r="O76" s="195"/>
      <x:c r="P76" s="195"/>
      <x:c r="Q76" s="195"/>
      <x:c r="R76" s="195"/>
      <x:c r="S76" s="195"/>
      <x:c r="T76" s="195"/>
      <x:c r="U76" s="195"/>
      <x:c r="V76" s="195"/>
      <x:c r="W76" s="195"/>
      <x:c r="X76" s="195"/>
      <x:c r="Y76" s="195"/>
      <x:c r="Z76" s="195"/>
    </x:row>
    <x:row r="77">
      <x:c r="A77" s="195"/>
      <x:c r="B77" s="195"/>
      <x:c r="C77" s="195"/>
      <x:c r="D77" s="195"/>
      <x:c r="E77" s="195"/>
      <x:c r="F77" s="195"/>
      <x:c r="G77" s="195"/>
      <x:c r="H77" s="195"/>
      <x:c r="I77" s="195"/>
      <x:c r="J77" s="195"/>
      <x:c r="K77" s="195"/>
      <x:c r="L77" s="195"/>
      <x:c r="M77" s="195"/>
      <x:c r="N77" s="195"/>
      <x:c r="O77" s="195"/>
      <x:c r="P77" s="195"/>
      <x:c r="Q77" s="195"/>
      <x:c r="R77" s="195"/>
      <x:c r="S77" s="195"/>
      <x:c r="T77" s="195"/>
      <x:c r="U77" s="195"/>
      <x:c r="V77" s="195"/>
      <x:c r="W77" s="195"/>
      <x:c r="X77" s="195"/>
      <x:c r="Y77" s="195"/>
      <x:c r="Z77" s="195"/>
    </x:row>
    <x:row r="78">
      <x:c r="A78" s="195"/>
      <x:c r="B78" s="195"/>
      <x:c r="C78" s="195"/>
      <x:c r="D78" s="195"/>
      <x:c r="E78" s="195"/>
      <x:c r="F78" s="195"/>
      <x:c r="G78" s="195"/>
      <x:c r="H78" s="195"/>
      <x:c r="I78" s="195"/>
      <x:c r="J78" s="195"/>
      <x:c r="K78" s="195"/>
      <x:c r="L78" s="195"/>
      <x:c r="M78" s="195"/>
      <x:c r="N78" s="195"/>
      <x:c r="O78" s="195"/>
      <x:c r="P78" s="195"/>
      <x:c r="Q78" s="195"/>
      <x:c r="R78" s="195"/>
      <x:c r="S78" s="195"/>
      <x:c r="T78" s="195"/>
      <x:c r="U78" s="195"/>
      <x:c r="V78" s="195"/>
      <x:c r="W78" s="195"/>
      <x:c r="X78" s="195"/>
      <x:c r="Y78" s="195"/>
      <x:c r="Z78" s="195"/>
    </x:row>
    <x:row r="79">
      <x:c r="A79" s="195"/>
      <x:c r="B79" s="195"/>
      <x:c r="C79" s="195"/>
      <x:c r="D79" s="195"/>
      <x:c r="E79" s="195"/>
      <x:c r="F79" s="195"/>
      <x:c r="G79" s="195"/>
      <x:c r="H79" s="195"/>
      <x:c r="I79" s="195"/>
      <x:c r="J79" s="195"/>
      <x:c r="K79" s="195"/>
      <x:c r="L79" s="195"/>
      <x:c r="M79" s="195"/>
      <x:c r="N79" s="195"/>
      <x:c r="O79" s="195"/>
      <x:c r="P79" s="195"/>
      <x:c r="Q79" s="195"/>
      <x:c r="R79" s="195"/>
      <x:c r="S79" s="195"/>
      <x:c r="T79" s="195"/>
      <x:c r="U79" s="195"/>
      <x:c r="V79" s="195"/>
      <x:c r="W79" s="195"/>
      <x:c r="X79" s="195"/>
      <x:c r="Y79" s="195"/>
      <x:c r="Z79" s="195"/>
    </x:row>
    <x:row r="80">
      <x:c r="A80" s="195"/>
      <x:c r="B80" s="195"/>
      <x:c r="C80" s="195"/>
      <x:c r="D80" s="195"/>
      <x:c r="E80" s="195"/>
      <x:c r="F80" s="195"/>
      <x:c r="G80" s="195"/>
      <x:c r="H80" s="195"/>
      <x:c r="I80" s="195"/>
      <x:c r="J80" s="195"/>
      <x:c r="K80" s="195"/>
      <x:c r="L80" s="195"/>
      <x:c r="M80" s="195"/>
      <x:c r="N80" s="195"/>
      <x:c r="O80" s="195"/>
      <x:c r="P80" s="195"/>
      <x:c r="Q80" s="195"/>
      <x:c r="R80" s="195"/>
      <x:c r="S80" s="195"/>
      <x:c r="T80" s="195"/>
      <x:c r="U80" s="195"/>
      <x:c r="V80" s="195"/>
      <x:c r="W80" s="195"/>
      <x:c r="X80" s="195"/>
      <x:c r="Y80" s="195"/>
      <x:c r="Z80" s="195"/>
    </x:row>
    <x:row r="81">
      <x:c r="A81" s="195"/>
      <x:c r="B81" s="195"/>
      <x:c r="C81" s="195"/>
      <x:c r="D81" s="195"/>
      <x:c r="E81" s="195"/>
      <x:c r="F81" s="195"/>
      <x:c r="G81" s="195"/>
      <x:c r="H81" s="195"/>
      <x:c r="I81" s="195"/>
      <x:c r="J81" s="195"/>
      <x:c r="K81" s="195"/>
      <x:c r="L81" s="195"/>
      <x:c r="M81" s="195"/>
      <x:c r="N81" s="195"/>
      <x:c r="O81" s="195"/>
      <x:c r="P81" s="195"/>
      <x:c r="Q81" s="195"/>
      <x:c r="R81" s="195"/>
      <x:c r="S81" s="195"/>
      <x:c r="T81" s="195"/>
      <x:c r="U81" s="195"/>
      <x:c r="V81" s="195"/>
      <x:c r="W81" s="195"/>
      <x:c r="X81" s="195"/>
      <x:c r="Y81" s="195"/>
      <x:c r="Z81" s="195"/>
    </x:row>
    <x:row r="82">
      <x:c r="A82" s="195"/>
      <x:c r="B82" s="195"/>
      <x:c r="C82" s="195"/>
      <x:c r="D82" s="195"/>
      <x:c r="E82" s="195"/>
      <x:c r="F82" s="195"/>
      <x:c r="G82" s="195"/>
      <x:c r="H82" s="195"/>
      <x:c r="I82" s="195"/>
      <x:c r="J82" s="195"/>
      <x:c r="K82" s="195"/>
      <x:c r="L82" s="195"/>
      <x:c r="M82" s="195"/>
      <x:c r="N82" s="195"/>
      <x:c r="O82" s="195"/>
      <x:c r="P82" s="195"/>
      <x:c r="Q82" s="195"/>
      <x:c r="R82" s="195"/>
      <x:c r="S82" s="195"/>
      <x:c r="T82" s="195"/>
      <x:c r="U82" s="195"/>
      <x:c r="V82" s="195"/>
      <x:c r="W82" s="195"/>
      <x:c r="X82" s="195"/>
      <x:c r="Y82" s="195"/>
      <x:c r="Z82" s="195"/>
    </x:row>
    <x:row r="83">
      <x:c r="A83" s="195"/>
      <x:c r="B83" s="195"/>
      <x:c r="C83" s="195"/>
      <x:c r="D83" s="195"/>
      <x:c r="E83" s="195"/>
      <x:c r="F83" s="195"/>
      <x:c r="G83" s="195"/>
      <x:c r="H83" s="195"/>
      <x:c r="I83" s="195"/>
      <x:c r="J83" s="195"/>
      <x:c r="K83" s="195"/>
      <x:c r="L83" s="195"/>
      <x:c r="M83" s="195"/>
      <x:c r="N83" s="195"/>
      <x:c r="O83" s="195"/>
      <x:c r="P83" s="195"/>
      <x:c r="Q83" s="195"/>
      <x:c r="R83" s="195"/>
      <x:c r="S83" s="195"/>
      <x:c r="T83" s="195"/>
      <x:c r="U83" s="195"/>
      <x:c r="V83" s="195"/>
      <x:c r="W83" s="195"/>
      <x:c r="X83" s="195"/>
      <x:c r="Y83" s="195"/>
      <x:c r="Z83" s="195"/>
    </x:row>
    <x:row r="84">
      <x:c r="A84" s="195"/>
      <x:c r="B84" s="195"/>
      <x:c r="C84" s="195"/>
      <x:c r="D84" s="195"/>
      <x:c r="E84" s="195"/>
      <x:c r="F84" s="195"/>
      <x:c r="G84" s="195"/>
      <x:c r="H84" s="195"/>
      <x:c r="I84" s="195"/>
      <x:c r="J84" s="195"/>
      <x:c r="K84" s="195"/>
      <x:c r="L84" s="195"/>
      <x:c r="M84" s="195"/>
      <x:c r="N84" s="195"/>
      <x:c r="O84" s="195"/>
      <x:c r="P84" s="195"/>
      <x:c r="Q84" s="195"/>
      <x:c r="R84" s="195"/>
      <x:c r="S84" s="195"/>
      <x:c r="T84" s="195"/>
      <x:c r="U84" s="195"/>
      <x:c r="V84" s="195"/>
      <x:c r="W84" s="195"/>
      <x:c r="X84" s="195"/>
      <x:c r="Y84" s="195"/>
      <x:c r="Z84" s="195"/>
    </x:row>
    <x:row r="85">
      <x:c r="A85" s="195"/>
      <x:c r="B85" s="195"/>
      <x:c r="C85" s="195"/>
      <x:c r="D85" s="195"/>
      <x:c r="E85" s="195"/>
      <x:c r="F85" s="195"/>
      <x:c r="G85" s="195"/>
      <x:c r="H85" s="195"/>
      <x:c r="I85" s="195"/>
      <x:c r="J85" s="195"/>
      <x:c r="K85" s="195"/>
      <x:c r="L85" s="195"/>
      <x:c r="M85" s="195"/>
      <x:c r="N85" s="195"/>
      <x:c r="O85" s="195"/>
      <x:c r="P85" s="195"/>
      <x:c r="Q85" s="195"/>
      <x:c r="R85" s="195"/>
      <x:c r="S85" s="195"/>
      <x:c r="T85" s="195"/>
      <x:c r="U85" s="195"/>
      <x:c r="V85" s="195"/>
      <x:c r="W85" s="195"/>
      <x:c r="X85" s="195"/>
      <x:c r="Y85" s="195"/>
      <x:c r="Z85" s="195"/>
    </x:row>
    <x:row r="86">
      <x:c r="A86" s="195"/>
      <x:c r="B86" s="195"/>
      <x:c r="C86" s="195"/>
      <x:c r="D86" s="195"/>
      <x:c r="E86" s="195"/>
      <x:c r="F86" s="195"/>
      <x:c r="G86" s="195"/>
      <x:c r="H86" s="195"/>
      <x:c r="I86" s="195"/>
      <x:c r="J86" s="195"/>
      <x:c r="K86" s="195"/>
      <x:c r="L86" s="195"/>
      <x:c r="M86" s="195"/>
      <x:c r="N86" s="195"/>
      <x:c r="O86" s="195"/>
      <x:c r="P86" s="195"/>
      <x:c r="Q86" s="195"/>
      <x:c r="R86" s="195"/>
      <x:c r="S86" s="195"/>
      <x:c r="T86" s="195"/>
      <x:c r="U86" s="195"/>
      <x:c r="V86" s="195"/>
      <x:c r="W86" s="195"/>
      <x:c r="X86" s="195"/>
      <x:c r="Y86" s="195"/>
      <x:c r="Z86" s="195"/>
    </x:row>
    <x:row r="87">
      <x:c r="A87" s="195"/>
      <x:c r="B87" s="195"/>
      <x:c r="C87" s="195"/>
      <x:c r="D87" s="195"/>
      <x:c r="E87" s="195"/>
      <x:c r="F87" s="195"/>
      <x:c r="G87" s="195"/>
      <x:c r="H87" s="195"/>
      <x:c r="I87" s="195"/>
      <x:c r="J87" s="195"/>
      <x:c r="K87" s="195"/>
      <x:c r="L87" s="195"/>
      <x:c r="M87" s="195"/>
      <x:c r="N87" s="195"/>
      <x:c r="O87" s="195"/>
      <x:c r="P87" s="195"/>
      <x:c r="Q87" s="195"/>
      <x:c r="R87" s="195"/>
      <x:c r="S87" s="195"/>
      <x:c r="T87" s="195"/>
      <x:c r="U87" s="195"/>
      <x:c r="V87" s="195"/>
      <x:c r="W87" s="195"/>
      <x:c r="X87" s="195"/>
      <x:c r="Y87" s="195"/>
      <x:c r="Z87" s="195"/>
    </x:row>
    <x:row r="88">
      <x:c r="A88" s="195"/>
      <x:c r="B88" s="195"/>
      <x:c r="C88" s="195"/>
      <x:c r="D88" s="195"/>
      <x:c r="E88" s="195"/>
      <x:c r="F88" s="195"/>
      <x:c r="G88" s="195"/>
      <x:c r="H88" s="195"/>
      <x:c r="I88" s="195"/>
      <x:c r="J88" s="195"/>
      <x:c r="K88" s="195"/>
      <x:c r="L88" s="195"/>
      <x:c r="M88" s="195"/>
      <x:c r="N88" s="195"/>
      <x:c r="O88" s="195"/>
      <x:c r="P88" s="195"/>
      <x:c r="Q88" s="195"/>
      <x:c r="R88" s="195"/>
      <x:c r="S88" s="195"/>
      <x:c r="T88" s="195"/>
      <x:c r="U88" s="195"/>
      <x:c r="V88" s="195"/>
      <x:c r="W88" s="195"/>
      <x:c r="X88" s="195"/>
      <x:c r="Y88" s="195"/>
      <x:c r="Z88" s="195"/>
    </x:row>
    <x:row r="89">
      <x:c r="A89" s="195"/>
      <x:c r="B89" s="195"/>
      <x:c r="C89" s="195"/>
      <x:c r="D89" s="195"/>
      <x:c r="E89" s="195"/>
      <x:c r="F89" s="195"/>
      <x:c r="G89" s="195"/>
      <x:c r="H89" s="195"/>
      <x:c r="I89" s="195"/>
      <x:c r="J89" s="195"/>
      <x:c r="K89" s="195"/>
      <x:c r="L89" s="195"/>
      <x:c r="M89" s="195"/>
      <x:c r="N89" s="195"/>
      <x:c r="O89" s="195"/>
      <x:c r="P89" s="195"/>
      <x:c r="Q89" s="195"/>
      <x:c r="R89" s="195"/>
      <x:c r="S89" s="195"/>
      <x:c r="T89" s="195"/>
      <x:c r="U89" s="195"/>
      <x:c r="V89" s="195"/>
      <x:c r="W89" s="195"/>
      <x:c r="X89" s="195"/>
      <x:c r="Y89" s="195"/>
      <x:c r="Z89" s="195"/>
    </x:row>
    <x:row r="90">
      <x:c r="A90" s="195"/>
      <x:c r="B90" s="195"/>
      <x:c r="C90" s="195"/>
      <x:c r="D90" s="195"/>
      <x:c r="E90" s="195"/>
      <x:c r="F90" s="195"/>
      <x:c r="G90" s="195"/>
      <x:c r="H90" s="195"/>
      <x:c r="I90" s="195"/>
      <x:c r="J90" s="195"/>
      <x:c r="K90" s="195"/>
      <x:c r="L90" s="195"/>
      <x:c r="M90" s="195"/>
      <x:c r="N90" s="195"/>
      <x:c r="O90" s="195"/>
      <x:c r="P90" s="195"/>
      <x:c r="Q90" s="195"/>
      <x:c r="R90" s="195"/>
      <x:c r="S90" s="195"/>
      <x:c r="T90" s="195"/>
      <x:c r="U90" s="195"/>
      <x:c r="V90" s="195"/>
      <x:c r="W90" s="195"/>
      <x:c r="X90" s="195"/>
      <x:c r="Y90" s="195"/>
      <x:c r="Z90" s="195"/>
    </x:row>
    <x:row r="91">
      <x:c r="A91" s="195"/>
      <x:c r="B91" s="195"/>
      <x:c r="C91" s="195"/>
      <x:c r="D91" s="195"/>
      <x:c r="E91" s="195"/>
      <x:c r="F91" s="195"/>
      <x:c r="G91" s="195"/>
      <x:c r="H91" s="195"/>
      <x:c r="I91" s="195"/>
      <x:c r="J91" s="195"/>
      <x:c r="K91" s="195"/>
      <x:c r="L91" s="195"/>
      <x:c r="M91" s="195"/>
      <x:c r="N91" s="195"/>
      <x:c r="O91" s="195"/>
      <x:c r="P91" s="195"/>
      <x:c r="Q91" s="195"/>
      <x:c r="R91" s="195"/>
      <x:c r="S91" s="195"/>
      <x:c r="T91" s="195"/>
      <x:c r="U91" s="195"/>
      <x:c r="V91" s="195"/>
      <x:c r="W91" s="195"/>
      <x:c r="X91" s="195"/>
      <x:c r="Y91" s="195"/>
      <x:c r="Z91" s="195"/>
    </x:row>
    <x:row r="92">
      <x:c r="A92" s="195"/>
      <x:c r="B92" s="195"/>
      <x:c r="C92" s="195"/>
      <x:c r="D92" s="195"/>
      <x:c r="E92" s="195"/>
      <x:c r="F92" s="195"/>
      <x:c r="G92" s="195"/>
      <x:c r="H92" s="195"/>
      <x:c r="I92" s="195"/>
      <x:c r="J92" s="195"/>
      <x:c r="K92" s="195"/>
      <x:c r="L92" s="195"/>
      <x:c r="M92" s="195"/>
      <x:c r="N92" s="195"/>
      <x:c r="O92" s="195"/>
      <x:c r="P92" s="195"/>
      <x:c r="Q92" s="195"/>
      <x:c r="R92" s="195"/>
      <x:c r="S92" s="195"/>
      <x:c r="T92" s="195"/>
      <x:c r="U92" s="195"/>
      <x:c r="V92" s="195"/>
      <x:c r="W92" s="195"/>
      <x:c r="X92" s="195"/>
      <x:c r="Y92" s="195"/>
      <x:c r="Z92" s="195"/>
    </x:row>
    <x:row r="93">
      <x:c r="A93" s="195"/>
      <x:c r="B93" s="195"/>
      <x:c r="C93" s="195"/>
      <x:c r="D93" s="195"/>
      <x:c r="E93" s="195"/>
      <x:c r="F93" s="195"/>
      <x:c r="G93" s="195"/>
      <x:c r="H93" s="195"/>
      <x:c r="I93" s="195"/>
      <x:c r="J93" s="195"/>
      <x:c r="K93" s="195"/>
      <x:c r="L93" s="195"/>
      <x:c r="M93" s="195"/>
      <x:c r="N93" s="195"/>
      <x:c r="O93" s="195"/>
      <x:c r="P93" s="195"/>
      <x:c r="Q93" s="195"/>
      <x:c r="R93" s="195"/>
      <x:c r="S93" s="195"/>
      <x:c r="T93" s="195"/>
      <x:c r="U93" s="195"/>
      <x:c r="V93" s="195"/>
      <x:c r="W93" s="195"/>
      <x:c r="X93" s="195"/>
      <x:c r="Y93" s="195"/>
      <x:c r="Z93" s="195"/>
    </x:row>
    <x:row r="94">
      <x:c r="A94" s="195"/>
      <x:c r="B94" s="195"/>
      <x:c r="C94" s="195"/>
      <x:c r="D94" s="195"/>
      <x:c r="E94" s="195"/>
      <x:c r="F94" s="195"/>
      <x:c r="G94" s="195"/>
      <x:c r="H94" s="195"/>
      <x:c r="I94" s="195"/>
      <x:c r="J94" s="195"/>
      <x:c r="K94" s="195"/>
      <x:c r="L94" s="195"/>
      <x:c r="M94" s="195"/>
      <x:c r="N94" s="195"/>
      <x:c r="O94" s="195"/>
      <x:c r="P94" s="195"/>
      <x:c r="Q94" s="195"/>
      <x:c r="R94" s="195"/>
      <x:c r="S94" s="195"/>
      <x:c r="T94" s="195"/>
      <x:c r="U94" s="195"/>
      <x:c r="V94" s="195"/>
      <x:c r="W94" s="195"/>
      <x:c r="X94" s="195"/>
      <x:c r="Y94" s="195"/>
      <x:c r="Z94" s="195"/>
    </x:row>
    <x:row r="95">
      <x:c r="A95" s="195"/>
      <x:c r="B95" s="195"/>
      <x:c r="C95" s="195"/>
      <x:c r="D95" s="195"/>
      <x:c r="E95" s="195"/>
      <x:c r="F95" s="195"/>
      <x:c r="G95" s="195"/>
      <x:c r="H95" s="195"/>
      <x:c r="I95" s="195"/>
      <x:c r="J95" s="195"/>
      <x:c r="K95" s="195"/>
      <x:c r="L95" s="195"/>
      <x:c r="M95" s="195"/>
      <x:c r="N95" s="195"/>
      <x:c r="O95" s="195"/>
      <x:c r="P95" s="195"/>
      <x:c r="Q95" s="195"/>
      <x:c r="R95" s="195"/>
      <x:c r="S95" s="195"/>
      <x:c r="T95" s="195"/>
      <x:c r="U95" s="195"/>
      <x:c r="V95" s="195"/>
      <x:c r="W95" s="195"/>
      <x:c r="X95" s="195"/>
      <x:c r="Y95" s="195"/>
      <x:c r="Z95" s="195"/>
    </x:row>
    <x:row r="96">
      <x:c r="A96" s="195"/>
      <x:c r="B96" s="195"/>
      <x:c r="C96" s="195"/>
      <x:c r="D96" s="195"/>
      <x:c r="E96" s="195"/>
      <x:c r="F96" s="195"/>
      <x:c r="G96" s="195"/>
      <x:c r="H96" s="195"/>
      <x:c r="I96" s="195"/>
      <x:c r="J96" s="195"/>
      <x:c r="K96" s="195"/>
      <x:c r="L96" s="195"/>
      <x:c r="M96" s="195"/>
      <x:c r="N96" s="195"/>
      <x:c r="O96" s="195"/>
      <x:c r="P96" s="195"/>
      <x:c r="Q96" s="195"/>
      <x:c r="R96" s="195"/>
      <x:c r="S96" s="195"/>
      <x:c r="T96" s="195"/>
      <x:c r="U96" s="195"/>
      <x:c r="V96" s="195"/>
      <x:c r="W96" s="195"/>
      <x:c r="X96" s="195"/>
      <x:c r="Y96" s="195"/>
      <x:c r="Z96" s="195"/>
    </x:row>
    <x:row r="97">
      <x:c r="A97" s="195"/>
      <x:c r="B97" s="195"/>
      <x:c r="C97" s="195"/>
      <x:c r="D97" s="195"/>
      <x:c r="E97" s="195"/>
      <x:c r="F97" s="195"/>
      <x:c r="G97" s="195"/>
      <x:c r="H97" s="195"/>
      <x:c r="I97" s="195"/>
      <x:c r="J97" s="195"/>
      <x:c r="K97" s="195"/>
      <x:c r="L97" s="195"/>
      <x:c r="M97" s="195"/>
      <x:c r="N97" s="195"/>
      <x:c r="O97" s="195"/>
      <x:c r="P97" s="195"/>
      <x:c r="Q97" s="195"/>
      <x:c r="R97" s="195"/>
      <x:c r="S97" s="195"/>
      <x:c r="T97" s="195"/>
      <x:c r="U97" s="195"/>
      <x:c r="V97" s="195"/>
      <x:c r="W97" s="195"/>
      <x:c r="X97" s="195"/>
      <x:c r="Y97" s="195"/>
      <x:c r="Z97" s="195"/>
    </x:row>
    <x:row r="98">
      <x:c r="A98" s="195"/>
      <x:c r="B98" s="195"/>
      <x:c r="C98" s="195"/>
      <x:c r="D98" s="195"/>
      <x:c r="E98" s="195"/>
      <x:c r="F98" s="195"/>
      <x:c r="G98" s="195"/>
      <x:c r="H98" s="195"/>
      <x:c r="I98" s="195"/>
      <x:c r="J98" s="195"/>
      <x:c r="K98" s="195"/>
      <x:c r="L98" s="195"/>
      <x:c r="M98" s="195"/>
      <x:c r="N98" s="195"/>
      <x:c r="O98" s="195"/>
      <x:c r="P98" s="195"/>
      <x:c r="Q98" s="195"/>
      <x:c r="R98" s="195"/>
      <x:c r="S98" s="195"/>
      <x:c r="T98" s="195"/>
      <x:c r="U98" s="195"/>
      <x:c r="V98" s="195"/>
      <x:c r="W98" s="195"/>
      <x:c r="X98" s="195"/>
      <x:c r="Y98" s="195"/>
      <x:c r="Z98" s="195"/>
    </x:row>
    <x:row r="99">
      <x:c r="A99" s="195"/>
      <x:c r="B99" s="195"/>
      <x:c r="C99" s="195"/>
      <x:c r="D99" s="195"/>
      <x:c r="E99" s="195"/>
      <x:c r="F99" s="195"/>
      <x:c r="G99" s="195"/>
      <x:c r="H99" s="195"/>
      <x:c r="I99" s="195"/>
      <x:c r="J99" s="195"/>
      <x:c r="K99" s="195"/>
      <x:c r="L99" s="195"/>
      <x:c r="M99" s="195"/>
      <x:c r="N99" s="195"/>
      <x:c r="O99" s="195"/>
      <x:c r="P99" s="195"/>
      <x:c r="Q99" s="195"/>
      <x:c r="R99" s="195"/>
      <x:c r="S99" s="195"/>
      <x:c r="T99" s="195"/>
      <x:c r="U99" s="195"/>
      <x:c r="V99" s="195"/>
      <x:c r="W99" s="195"/>
      <x:c r="X99" s="195"/>
      <x:c r="Y99" s="195"/>
      <x:c r="Z99" s="195"/>
    </x:row>
    <x:row r="100">
      <x:c r="A100" s="195"/>
      <x:c r="B100" s="195"/>
      <x:c r="C100" s="195"/>
      <x:c r="D100" s="195"/>
      <x:c r="E100" s="195"/>
      <x:c r="F100" s="195"/>
      <x:c r="G100" s="195"/>
      <x:c r="H100" s="195"/>
      <x:c r="I100" s="195"/>
      <x:c r="J100" s="195"/>
      <x:c r="K100" s="195"/>
      <x:c r="L100" s="195"/>
      <x:c r="M100" s="195"/>
      <x:c r="N100" s="195"/>
      <x:c r="O100" s="195"/>
      <x:c r="P100" s="195"/>
      <x:c r="Q100" s="195"/>
      <x:c r="R100" s="195"/>
      <x:c r="S100" s="195"/>
      <x:c r="T100" s="195"/>
      <x:c r="U100" s="195"/>
      <x:c r="V100" s="195"/>
      <x:c r="W100" s="195"/>
      <x:c r="X100" s="195"/>
      <x:c r="Y100" s="195"/>
      <x:c r="Z100" s="195"/>
    </x:row>
  </x:sheetData>
  <x:mergeCells>
    <x:mergeCell ref="A2:L2"/>
  </x:mergeCells>
  <x:conditionalFormatting sqref="K6:K25">
    <x:cfRule type="cellIs" dxfId="0" priority="1" operator="lessThan">
      <x:formula>0.8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8B6F47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17" hidden="0" customWidth="1"/>
    <x:col min="3" max="3" width="27" hidden="0" customWidth="1"/>
    <x:col min="4" max="4" width="14" hidden="0" customWidth="1"/>
    <x:col min="5" max="5" width="13" hidden="0" customWidth="1"/>
    <x:col min="6" max="6" width="13" hidden="0" customWidth="1"/>
    <x:col min="7" max="7" width="18" hidden="0" customWidth="1"/>
    <x:col min="8" max="8" width="19" hidden="0" customWidth="1"/>
    <x:col min="9" max="9" width="20" hidden="0" customWidth="1"/>
    <x:col min="10" max="10" width="18" hidden="0" customWidth="1"/>
    <x:col min="11" max="11" width="17" hidden="0" customWidth="1"/>
    <x:col min="12" max="12" width="17" hidden="0" customWidth="1"/>
    <x:col min="13" max="13" width="17" hidden="0" customWidth="1"/>
    <x:col min="14" max="14" width="15" hidden="0" customWidth="1"/>
    <x:col min="15" max="15" width="15" hidden="0" customWidth="1"/>
    <x:col min="16" max="16" width="15" hidden="0" customWidth="1"/>
    <x:col min="17" max="17" width="16" hidden="0" customWidth="1"/>
    <x:col min="18" max="18" width="17" hidden="0" customWidth="1"/>
    <x:col min="19" max="19" width="24" hidden="0" customWidth="1"/>
  </x:cols>
  <x:sheetData>
    <x:row r="1">
      <x:c r="A1" s="195"/>
      <x:c r="B1" s="195"/>
      <x:c r="C1" s="195"/>
      <x:c r="D1" s="195"/>
      <x:c r="E1" s="195"/>
      <x:c r="F1" s="195"/>
      <x:c r="G1" s="195"/>
      <x:c r="H1" s="195"/>
      <x:c r="I1" s="195"/>
      <x:c r="J1" s="195"/>
      <x:c r="K1" s="195"/>
      <x:c r="L1" s="195"/>
      <x:c r="M1" s="195"/>
      <x:c r="N1" s="195"/>
      <x:c r="O1" s="195"/>
      <x:c r="P1" s="195"/>
      <x:c r="Q1" s="195"/>
      <x:c r="R1" s="195"/>
      <x:c r="S1" s="195"/>
      <x:c r="T1" s="195"/>
      <x:c r="U1" s="195"/>
      <x:c r="V1" s="195"/>
      <x:c r="W1" s="195"/>
      <x:c r="X1" s="195"/>
      <x:c r="Y1" s="195"/>
      <x:c r="Z1" s="195"/>
    </x:row>
    <x:row r="2" ht="30" customHeight="1">
      <x:c r="A2" s="4" t="str">
        <x:v>Toereikendheid basisinkomen per huishoudtype</x:v>
      </x:c>
      <x:c r="B2" s="4" t="str">
        <x:v>Toereikendheid basisinkomen per huishoudtype</x:v>
      </x:c>
      <x:c r="C2" s="4" t="str">
        <x:v>Toereikendheid basisinkomen per huishoudtype</x:v>
      </x:c>
      <x:c r="D2" s="4" t="str">
        <x:v>Toereikendheid basisinkomen per huishoudtype</x:v>
      </x:c>
      <x:c r="E2" s="4" t="str">
        <x:v>Toereikendheid basisinkomen per huishoudtype</x:v>
      </x:c>
      <x:c r="F2" s="4" t="str">
        <x:v>Toereikendheid basisinkomen per huishoudtype</x:v>
      </x:c>
      <x:c r="G2" s="4" t="str">
        <x:v>Toereikendheid basisinkomen per huishoudtype</x:v>
      </x:c>
      <x:c r="H2" s="4" t="str">
        <x:v>Toereikendheid basisinkomen per huishoudtype</x:v>
      </x:c>
      <x:c r="I2" s="4" t="str">
        <x:v>Toereikendheid basisinkomen per huishoudtype</x:v>
      </x:c>
      <x:c r="J2" s="4" t="str">
        <x:v>Toereikendheid basisinkomen per huishoudtype</x:v>
      </x:c>
      <x:c r="K2" s="4" t="str">
        <x:v>Toereikendheid basisinkomen per huishoudtype</x:v>
      </x:c>
      <x:c r="L2" s="4" t="str">
        <x:v>Toereikendheid basisinkomen per huishoudtype</x:v>
      </x:c>
      <x:c r="M2" s="4" t="str">
        <x:v>Toereikendheid basisinkomen per huishoudtype</x:v>
      </x:c>
      <x:c r="N2" s="4" t="str">
        <x:v>Toereikendheid basisinkomen per huishoudtype</x:v>
      </x:c>
      <x:c r="O2" s="4" t="str">
        <x:v>Toereikendheid basisinkomen per huishoudtype</x:v>
      </x:c>
      <x:c r="P2" s="4" t="str">
        <x:v>Toereikendheid basisinkomen per huishoudtype</x:v>
      </x:c>
      <x:c r="Q2" s="4" t="str">
        <x:v>Toereikendheid basisinkomen per huishoudtype</x:v>
      </x:c>
      <x:c r="R2" s="4" t="str">
        <x:v>Toereikendheid basisinkomen per huishoudtype</x:v>
      </x:c>
      <x:c r="S2" s="4" t="str">
        <x:v>Toereikendheid basisinkomen per huishoudtype</x:v>
      </x:c>
      <x:c r="T2" s="195"/>
      <x:c r="U2" s="195"/>
      <x:c r="V2" s="195"/>
      <x:c r="W2" s="195"/>
      <x:c r="X2" s="195"/>
      <x:c r="Y2" s="195"/>
      <x:c r="Z2" s="195"/>
    </x:row>
    <x:row r="3">
      <x:c r="A3" s="195"/>
      <x:c r="B3" s="195"/>
      <x:c r="C3" s="195"/>
      <x:c r="D3" s="195"/>
      <x:c r="E3" s="195"/>
      <x:c r="F3" s="195"/>
      <x:c r="G3" s="195"/>
      <x:c r="H3" s="195"/>
      <x:c r="I3" s="195"/>
      <x:c r="J3" s="195"/>
      <x:c r="K3" s="195"/>
      <x:c r="L3" s="195"/>
      <x:c r="M3" s="195"/>
      <x:c r="N3" s="195"/>
      <x:c r="O3" s="195"/>
      <x:c r="P3" s="195"/>
      <x:c r="Q3" s="195"/>
      <x:c r="R3" s="195"/>
      <x:c r="S3" s="195"/>
      <x:c r="T3" s="195"/>
      <x:c r="U3" s="195"/>
      <x:c r="V3" s="195"/>
      <x:c r="W3" s="195"/>
      <x:c r="X3" s="195"/>
      <x:c r="Y3" s="195"/>
      <x:c r="Z3" s="195"/>
    </x:row>
    <x:row r="4">
      <x:c r="A4" s="211" t="str">
        <x:v>Toets: overig netto-inkomen + basisinkomen − adequate woon- en energielasten − overige minimale uitgaven. Weging w = aantal vergelijkbare huishoudens.</x:v>
      </x:c>
      <x:c r="B4" s="211" t="str"/>
      <x:c r="C4" s="211" t="str"/>
      <x:c r="D4" s="211" t="str"/>
      <x:c r="E4" s="211" t="str"/>
      <x:c r="F4" s="211" t="str"/>
      <x:c r="G4" s="211" t="str"/>
      <x:c r="H4" s="211" t="str"/>
      <x:c r="I4" s="211" t="str"/>
      <x:c r="J4" s="211" t="str"/>
      <x:c r="K4" s="211" t="str"/>
      <x:c r="L4" s="211" t="str"/>
      <x:c r="M4" s="211" t="str"/>
      <x:c r="N4" s="211" t="str"/>
      <x:c r="O4" s="211" t="str"/>
      <x:c r="P4" s="211" t="str"/>
      <x:c r="Q4" s="211" t="str"/>
      <x:c r="R4" s="211" t="str"/>
      <x:c r="S4" s="211" t="str"/>
      <x:c r="T4" s="195"/>
      <x:c r="U4" s="195"/>
      <x:c r="V4" s="195"/>
      <x:c r="W4" s="195"/>
      <x:c r="X4" s="195"/>
      <x:c r="Y4" s="195"/>
      <x:c r="Z4" s="195"/>
    </x:row>
    <x:row r="5" ht="52" customHeight="1">
      <x:c r="A5" s="20" t="str">
        <x:v>Type-ID</x:v>
      </x:c>
      <x:c r="B5" s="21" t="str">
        <x:v>Regio</x:v>
      </x:c>
      <x:c r="C5" s="21" t="str">
        <x:v>Huishoudtype</x:v>
      </x:c>
      <x:c r="D5" s="21" t="str">
        <x:v>Volwassenen ah</x:v>
      </x:c>
      <x:c r="E5" s="21" t="str">
        <x:v>Kinderen kh</x:v>
      </x:c>
      <x:c r="F5" s="21" t="str">
        <x:v>Weging wh</x:v>
      </x:c>
      <x:c r="G5" s="21" t="str">
        <x:v>Overig netto-inkomen Yh</x:v>
      </x:c>
      <x:c r="H5" s="21" t="str">
        <x:v>Adequate woon + energie Hh</x:v>
      </x:c>
      <x:c r="I5" s="21" t="str">
        <x:v>Overige minimale uitgaven Nh</x:v>
      </x:c>
      <x:c r="J5" s="21" t="str">
        <x:v>Adequate woning Ah (1/0)</x:v>
      </x:c>
      <x:c r="K5" s="21" t="str">
        <x:v>Basisinkomen Uh</x:v>
      </x:c>
      <x:c r="L5" s="21" t="str">
        <x:v>Middelen</x:v>
      </x:c>
      <x:c r="M5" s="21" t="str">
        <x:v>Minimum</x:v>
      </x:c>
      <x:c r="N5" s="21" t="str">
        <x:v>Saldo Rh</x:v>
      </x:c>
      <x:c r="O5" s="21" t="str">
        <x:v>Tekort Gh</x:v>
      </x:c>
      <x:c r="P5" s="21" t="str">
        <x:v>Toereikend Sh</x:v>
      </x:c>
      <x:c r="Q5" s="21" t="str">
        <x:v>Dekkingsratio</x:v>
      </x:c>
      <x:c r="R5" s="21" t="str">
        <x:v>Gezamenlijke basis</x:v>
      </x:c>
      <x:c r="S5" s="22" t="str">
        <x:v>Bron / notitie</x:v>
      </x:c>
      <x:c r="T5" s="195"/>
      <x:c r="U5" s="195"/>
      <x:c r="V5" s="195"/>
      <x:c r="W5" s="195"/>
      <x:c r="X5" s="195"/>
      <x:c r="Y5" s="195"/>
      <x:c r="Z5" s="195"/>
    </x:row>
    <x:row r="6" ht="32" customHeight="1">
      <x:c r="A6" s="218" t="str">
        <x:v>HH-01</x:v>
      </x:c>
      <x:c r="B6" s="230" t="str">
        <x:v>Stad Centrum</x:v>
      </x:c>
      <x:c r="C6" s="230" t="str">
        <x:v>Alleenstaande werkend</x:v>
      </x:c>
      <x:c r="D6" s="231" t="n">
        <x:v>1</x:v>
      </x:c>
      <x:c r="E6" s="231" t="n">
        <x:v>0</x:v>
      </x:c>
      <x:c r="F6" s="231" t="n">
        <x:v>800</x:v>
      </x:c>
      <x:c r="G6" s="219" t="n">
        <x:v>1650</x:v>
      </x:c>
      <x:c r="H6" s="219" t="n">
        <x:v>850</x:v>
      </x:c>
      <x:c r="I6" s="219" t="n">
        <x:v>950</x:v>
      </x:c>
      <x:c r="J6" s="252" t="n">
        <x:v>1</x:v>
      </x:c>
      <x:c r="K6" s="253" t="n">
        <x:f>IF(F6="","",D6*Normen!$G$9+E6*Normen!$G$10)</x:f>
        <x:v>800</x:v>
      </x:c>
      <x:c r="L6" s="254" t="n">
        <x:f>IF(F6="","",G6+K6)</x:f>
        <x:v>2450</x:v>
      </x:c>
      <x:c r="M6" s="254" t="n">
        <x:f>IF(F6="","",H6+I6)</x:f>
        <x:v>1800</x:v>
      </x:c>
      <x:c r="N6" s="254" t="n">
        <x:f>IF(F6="","",L6-M6)</x:f>
        <x:v>650</x:v>
      </x:c>
      <x:c r="O6" s="254" t="n">
        <x:f>IF(F6="","",MAX(0,-N6))</x:f>
        <x:v>0</x:v>
      </x:c>
      <x:c r="P6" s="255" t="n">
        <x:f>IF(F6="","",IF(N6&gt;=0,1,0))</x:f>
        <x:v>1</x:v>
      </x:c>
      <x:c r="Q6" s="256" t="n">
        <x:f>IF(F6="","",IF(M6=0,1,MIN(1,MAX(0,L6/M6))))</x:f>
        <x:v>1</x:v>
      </x:c>
      <x:c r="R6" s="257" t="n">
        <x:f>IF(F6="","",IF(AND(J6=1,P6=1),1,0))</x:f>
        <x:v>1</x:v>
      </x:c>
      <x:c r="S6" s="212" t="str">
        <x:v>illustratief</x:v>
      </x:c>
      <x:c r="T6" s="195"/>
      <x:c r="U6" s="195"/>
      <x:c r="V6" s="195"/>
      <x:c r="W6" s="195"/>
      <x:c r="X6" s="195"/>
      <x:c r="Y6" s="195"/>
      <x:c r="Z6" s="195"/>
    </x:row>
    <x:row r="7" ht="32" customHeight="1">
      <x:c r="A7" s="222" t="str">
        <x:v>HH-02</x:v>
      </x:c>
      <x:c r="B7" s="236" t="str">
        <x:v>Stad Centrum</x:v>
      </x:c>
      <x:c r="C7" s="236" t="str">
        <x:v>Alleenstaande zonder werk</x:v>
      </x:c>
      <x:c r="D7" s="237" t="n">
        <x:v>1</x:v>
      </x:c>
      <x:c r="E7" s="237" t="n">
        <x:v>0</x:v>
      </x:c>
      <x:c r="F7" s="237" t="n">
        <x:v>600</x:v>
      </x:c>
      <x:c r="G7" s="223" t="n">
        <x:v>950</x:v>
      </x:c>
      <x:c r="H7" s="223" t="n">
        <x:v>760</x:v>
      </x:c>
      <x:c r="I7" s="223" t="n">
        <x:v>950</x:v>
      </x:c>
      <x:c r="J7" s="258" t="n">
        <x:v>1</x:v>
      </x:c>
      <x:c r="K7" s="259" t="n">
        <x:f>IF(F7="","",D7*Normen!$G$9+E7*Normen!$G$10)</x:f>
        <x:v>800</x:v>
      </x:c>
      <x:c r="L7" s="260" t="n">
        <x:f>IF(F7="","",G7+K7)</x:f>
        <x:v>1750</x:v>
      </x:c>
      <x:c r="M7" s="260" t="n">
        <x:f>IF(F7="","",H7+I7)</x:f>
        <x:v>1710</x:v>
      </x:c>
      <x:c r="N7" s="260" t="n">
        <x:f>IF(F7="","",L7-M7)</x:f>
        <x:v>40</x:v>
      </x:c>
      <x:c r="O7" s="260" t="n">
        <x:f>IF(F7="","",MAX(0,-N7))</x:f>
        <x:v>0</x:v>
      </x:c>
      <x:c r="P7" s="261" t="n">
        <x:f>IF(F7="","",IF(N7&gt;=0,1,0))</x:f>
        <x:v>1</x:v>
      </x:c>
      <x:c r="Q7" s="262" t="n">
        <x:f>IF(F7="","",IF(M7=0,1,MIN(1,MAX(0,L7/M7))))</x:f>
        <x:v>1</x:v>
      </x:c>
      <x:c r="R7" s="263" t="n">
        <x:f>IF(F7="","",IF(AND(J7=1,P7=1),1,0))</x:f>
        <x:v>1</x:v>
      </x:c>
      <x:c r="S7" s="215" t="str">
        <x:v>illustratief</x:v>
      </x:c>
      <x:c r="T7" s="195"/>
      <x:c r="U7" s="195"/>
      <x:c r="V7" s="195"/>
      <x:c r="W7" s="195"/>
      <x:c r="X7" s="195"/>
      <x:c r="Y7" s="195"/>
      <x:c r="Z7" s="195"/>
    </x:row>
    <x:row r="8" ht="32" customHeight="1">
      <x:c r="A8" s="222" t="str">
        <x:v>HH-03</x:v>
      </x:c>
      <x:c r="B8" s="236" t="str">
        <x:v>Stad Centrum</x:v>
      </x:c>
      <x:c r="C8" s="236" t="str">
        <x:v>Paar zonder kinderen</x:v>
      </x:c>
      <x:c r="D8" s="237" t="n">
        <x:v>2</x:v>
      </x:c>
      <x:c r="E8" s="237" t="n">
        <x:v>0</x:v>
      </x:c>
      <x:c r="F8" s="237" t="n">
        <x:v>500</x:v>
      </x:c>
      <x:c r="G8" s="223" t="n">
        <x:v>2100</x:v>
      </x:c>
      <x:c r="H8" s="223" t="n">
        <x:v>950</x:v>
      </x:c>
      <x:c r="I8" s="223" t="n">
        <x:v>1400</x:v>
      </x:c>
      <x:c r="J8" s="258" t="n">
        <x:v>1</x:v>
      </x:c>
      <x:c r="K8" s="259" t="n">
        <x:f>IF(F8="","",D8*Normen!$G$9+E8*Normen!$G$10)</x:f>
        <x:v>1600</x:v>
      </x:c>
      <x:c r="L8" s="260" t="n">
        <x:f>IF(F8="","",G8+K8)</x:f>
        <x:v>3700</x:v>
      </x:c>
      <x:c r="M8" s="260" t="n">
        <x:f>IF(F8="","",H8+I8)</x:f>
        <x:v>2350</x:v>
      </x:c>
      <x:c r="N8" s="260" t="n">
        <x:f>IF(F8="","",L8-M8)</x:f>
        <x:v>1350</x:v>
      </x:c>
      <x:c r="O8" s="260" t="n">
        <x:f>IF(F8="","",MAX(0,-N8))</x:f>
        <x:v>0</x:v>
      </x:c>
      <x:c r="P8" s="261" t="n">
        <x:f>IF(F8="","",IF(N8&gt;=0,1,0))</x:f>
        <x:v>1</x:v>
      </x:c>
      <x:c r="Q8" s="262" t="n">
        <x:f>IF(F8="","",IF(M8=0,1,MIN(1,MAX(0,L8/M8))))</x:f>
        <x:v>1</x:v>
      </x:c>
      <x:c r="R8" s="263" t="n">
        <x:f>IF(F8="","",IF(AND(J8=1,P8=1),1,0))</x:f>
        <x:v>1</x:v>
      </x:c>
      <x:c r="S8" s="215" t="str">
        <x:v>illustratief</x:v>
      </x:c>
      <x:c r="T8" s="195"/>
      <x:c r="U8" s="195"/>
      <x:c r="V8" s="195"/>
      <x:c r="W8" s="195"/>
      <x:c r="X8" s="195"/>
      <x:c r="Y8" s="195"/>
      <x:c r="Z8" s="195"/>
    </x:row>
    <x:row r="9" ht="32" customHeight="1">
      <x:c r="A9" s="222" t="str">
        <x:v>HH-04</x:v>
      </x:c>
      <x:c r="B9" s="236" t="str">
        <x:v>Stad Noord</x:v>
      </x:c>
      <x:c r="C9" s="236" t="str">
        <x:v>Gezin met twee kinderen</x:v>
      </x:c>
      <x:c r="D9" s="237" t="n">
        <x:v>2</x:v>
      </x:c>
      <x:c r="E9" s="237" t="n">
        <x:v>2</x:v>
      </x:c>
      <x:c r="F9" s="237" t="n">
        <x:v>650</x:v>
      </x:c>
      <x:c r="G9" s="223" t="n">
        <x:v>2400</x:v>
      </x:c>
      <x:c r="H9" s="223" t="n">
        <x:v>1150</x:v>
      </x:c>
      <x:c r="I9" s="223" t="n">
        <x:v>1900</x:v>
      </x:c>
      <x:c r="J9" s="258" t="n">
        <x:v>1</x:v>
      </x:c>
      <x:c r="K9" s="259" t="n">
        <x:f>IF(F9="","",D9*Normen!$G$9+E9*Normen!$G$10)</x:f>
        <x:v>1600</x:v>
      </x:c>
      <x:c r="L9" s="260" t="n">
        <x:f>IF(F9="","",G9+K9)</x:f>
        <x:v>4000</x:v>
      </x:c>
      <x:c r="M9" s="260" t="n">
        <x:f>IF(F9="","",H9+I9)</x:f>
        <x:v>3050</x:v>
      </x:c>
      <x:c r="N9" s="260" t="n">
        <x:f>IF(F9="","",L9-M9)</x:f>
        <x:v>950</x:v>
      </x:c>
      <x:c r="O9" s="260" t="n">
        <x:f>IF(F9="","",MAX(0,-N9))</x:f>
        <x:v>0</x:v>
      </x:c>
      <x:c r="P9" s="261" t="n">
        <x:f>IF(F9="","",IF(N9&gt;=0,1,0))</x:f>
        <x:v>1</x:v>
      </x:c>
      <x:c r="Q9" s="262" t="n">
        <x:f>IF(F9="","",IF(M9=0,1,MIN(1,MAX(0,L9/M9))))</x:f>
        <x:v>1</x:v>
      </x:c>
      <x:c r="R9" s="263" t="n">
        <x:f>IF(F9="","",IF(AND(J9=1,P9=1),1,0))</x:f>
        <x:v>1</x:v>
      </x:c>
      <x:c r="S9" s="215" t="str">
        <x:v>illustratief</x:v>
      </x:c>
      <x:c r="T9" s="195"/>
      <x:c r="U9" s="195"/>
      <x:c r="V9" s="195"/>
      <x:c r="W9" s="195"/>
      <x:c r="X9" s="195"/>
      <x:c r="Y9" s="195"/>
      <x:c r="Z9" s="195"/>
    </x:row>
    <x:row r="10" ht="32" customHeight="1">
      <x:c r="A10" s="222" t="str">
        <x:v>HH-05</x:v>
      </x:c>
      <x:c r="B10" s="236" t="str">
        <x:v>Regio Oost</x:v>
      </x:c>
      <x:c r="C10" s="236" t="str">
        <x:v>Alleenstaande oudere</x:v>
      </x:c>
      <x:c r="D10" s="237" t="n">
        <x:v>1</x:v>
      </x:c>
      <x:c r="E10" s="237" t="n">
        <x:v>0</x:v>
      </x:c>
      <x:c r="F10" s="237" t="n">
        <x:v>350</x:v>
      </x:c>
      <x:c r="G10" s="223" t="n">
        <x:v>1450</x:v>
      </x:c>
      <x:c r="H10" s="223" t="n">
        <x:v>780</x:v>
      </x:c>
      <x:c r="I10" s="223" t="n">
        <x:v>1000</x:v>
      </x:c>
      <x:c r="J10" s="258" t="n">
        <x:v>1</x:v>
      </x:c>
      <x:c r="K10" s="259" t="n">
        <x:f>IF(F10="","",D10*Normen!$G$9+E10*Normen!$G$10)</x:f>
        <x:v>800</x:v>
      </x:c>
      <x:c r="L10" s="260" t="n">
        <x:f>IF(F10="","",G10+K10)</x:f>
        <x:v>2250</x:v>
      </x:c>
      <x:c r="M10" s="260" t="n">
        <x:f>IF(F10="","",H10+I10)</x:f>
        <x:v>1780</x:v>
      </x:c>
      <x:c r="N10" s="260" t="n">
        <x:f>IF(F10="","",L10-M10)</x:f>
        <x:v>470</x:v>
      </x:c>
      <x:c r="O10" s="260" t="n">
        <x:f>IF(F10="","",MAX(0,-N10))</x:f>
        <x:v>0</x:v>
      </x:c>
      <x:c r="P10" s="261" t="n">
        <x:f>IF(F10="","",IF(N10&gt;=0,1,0))</x:f>
        <x:v>1</x:v>
      </x:c>
      <x:c r="Q10" s="262" t="n">
        <x:f>IF(F10="","",IF(M10=0,1,MIN(1,MAX(0,L10/M10))))</x:f>
        <x:v>1</x:v>
      </x:c>
      <x:c r="R10" s="263" t="n">
        <x:f>IF(F10="","",IF(AND(J10=1,P10=1),1,0))</x:f>
        <x:v>1</x:v>
      </x:c>
      <x:c r="S10" s="215" t="str">
        <x:v>illustratief</x:v>
      </x:c>
      <x:c r="T10" s="195"/>
      <x:c r="U10" s="195"/>
      <x:c r="V10" s="195"/>
      <x:c r="W10" s="195"/>
      <x:c r="X10" s="195"/>
      <x:c r="Y10" s="195"/>
      <x:c r="Z10" s="195"/>
    </x:row>
    <x:row r="11" ht="32" customHeight="1">
      <x:c r="A11" s="222" t="str">
        <x:v>HH-06</x:v>
      </x:c>
      <x:c r="B11" s="236" t="str">
        <x:v>Regio Oost</x:v>
      </x:c>
      <x:c r="C11" s="236" t="str">
        <x:v>Beperking en hoge zorgkosten</x:v>
      </x:c>
      <x:c r="D11" s="237" t="n">
        <x:v>1</x:v>
      </x:c>
      <x:c r="E11" s="237" t="n">
        <x:v>0</x:v>
      </x:c>
      <x:c r="F11" s="237" t="n">
        <x:v>120</x:v>
      </x:c>
      <x:c r="G11" s="223" t="n">
        <x:v>1200</x:v>
      </x:c>
      <x:c r="H11" s="223" t="n">
        <x:v>850</x:v>
      </x:c>
      <x:c r="I11" s="223" t="n">
        <x:v>1250</x:v>
      </x:c>
      <x:c r="J11" s="258" t="n">
        <x:v>1</x:v>
      </x:c>
      <x:c r="K11" s="259" t="n">
        <x:f>IF(F11="","",D11*Normen!$G$9+E11*Normen!$G$10)</x:f>
        <x:v>800</x:v>
      </x:c>
      <x:c r="L11" s="260" t="n">
        <x:f>IF(F11="","",G11+K11)</x:f>
        <x:v>2000</x:v>
      </x:c>
      <x:c r="M11" s="260" t="n">
        <x:f>IF(F11="","",H11+I11)</x:f>
        <x:v>2100</x:v>
      </x:c>
      <x:c r="N11" s="260" t="n">
        <x:f>IF(F11="","",L11-M11)</x:f>
        <x:v>-100</x:v>
      </x:c>
      <x:c r="O11" s="260" t="n">
        <x:f>IF(F11="","",MAX(0,-N11))</x:f>
        <x:v>100</x:v>
      </x:c>
      <x:c r="P11" s="261" t="n">
        <x:f>IF(F11="","",IF(N11&gt;=0,1,0))</x:f>
        <x:v>0</x:v>
      </x:c>
      <x:c r="Q11" s="262" t="n">
        <x:f>IF(F11="","",IF(M11=0,1,MIN(1,MAX(0,L11/M11))))</x:f>
        <x:v>0.9523809523809523</x:v>
      </x:c>
      <x:c r="R11" s="263" t="n">
        <x:f>IF(F11="","",IF(AND(J11=1,P11=1),1,0))</x:f>
        <x:v>0</x:v>
      </x:c>
      <x:c r="S11" s="215" t="str">
        <x:v>illustratief</x:v>
      </x:c>
      <x:c r="T11" s="195"/>
      <x:c r="U11" s="195"/>
      <x:c r="V11" s="195"/>
      <x:c r="W11" s="195"/>
      <x:c r="X11" s="195"/>
      <x:c r="Y11" s="195"/>
      <x:c r="Z11" s="195"/>
    </x:row>
    <x:row r="12" ht="32" customHeight="1">
      <x:c r="A12" s="222" t="str">
        <x:v>HH-07</x:v>
      </x:c>
      <x:c r="B12" s="236" t="str">
        <x:v>Regio Zuid</x:v>
      </x:c>
      <x:c r="C12" s="236" t="str">
        <x:v>Starter zonder adequate woning</x:v>
      </x:c>
      <x:c r="D12" s="237" t="n">
        <x:v>1</x:v>
      </x:c>
      <x:c r="E12" s="237" t="n">
        <x:v>0</x:v>
      </x:c>
      <x:c r="F12" s="237" t="n">
        <x:v>400</x:v>
      </x:c>
      <x:c r="G12" s="223" t="n">
        <x:v>1500</x:v>
      </x:c>
      <x:c r="H12" s="223" t="n">
        <x:v>900</x:v>
      </x:c>
      <x:c r="I12" s="223" t="n">
        <x:v>950</x:v>
      </x:c>
      <x:c r="J12" s="258" t="n">
        <x:v>0</x:v>
      </x:c>
      <x:c r="K12" s="259" t="n">
        <x:f>IF(F12="","",D12*Normen!$G$9+E12*Normen!$G$10)</x:f>
        <x:v>800</x:v>
      </x:c>
      <x:c r="L12" s="260" t="n">
        <x:f>IF(F12="","",G12+K12)</x:f>
        <x:v>2300</x:v>
      </x:c>
      <x:c r="M12" s="260" t="n">
        <x:f>IF(F12="","",H12+I12)</x:f>
        <x:v>1850</x:v>
      </x:c>
      <x:c r="N12" s="260" t="n">
        <x:f>IF(F12="","",L12-M12)</x:f>
        <x:v>450</x:v>
      </x:c>
      <x:c r="O12" s="260" t="n">
        <x:f>IF(F12="","",MAX(0,-N12))</x:f>
        <x:v>0</x:v>
      </x:c>
      <x:c r="P12" s="261" t="n">
        <x:f>IF(F12="","",IF(N12&gt;=0,1,0))</x:f>
        <x:v>1</x:v>
      </x:c>
      <x:c r="Q12" s="262" t="n">
        <x:f>IF(F12="","",IF(M12=0,1,MIN(1,MAX(0,L12/M12))))</x:f>
        <x:v>1</x:v>
      </x:c>
      <x:c r="R12" s="263" t="n">
        <x:f>IF(F12="","",IF(AND(J12=1,P12=1),1,0))</x:f>
        <x:v>0</x:v>
      </x:c>
      <x:c r="S12" s="215" t="str">
        <x:v>illustratief</x:v>
      </x:c>
      <x:c r="T12" s="195"/>
      <x:c r="U12" s="195"/>
      <x:c r="V12" s="195"/>
      <x:c r="W12" s="195"/>
      <x:c r="X12" s="195"/>
      <x:c r="Y12" s="195"/>
      <x:c r="Z12" s="195"/>
    </x:row>
    <x:row r="13" ht="32" customHeight="1">
      <x:c r="A13" s="222"/>
      <x:c r="B13" s="236"/>
      <x:c r="C13" s="236"/>
      <x:c r="D13" s="237"/>
      <x:c r="E13" s="237"/>
      <x:c r="F13" s="237"/>
      <x:c r="G13" s="223"/>
      <x:c r="H13" s="223"/>
      <x:c r="I13" s="223"/>
      <x:c r="J13" s="258"/>
      <x:c r="K13" s="259" t="str">
        <x:f>IF(F13="","",D13*Normen!$G$9+E13*Normen!$G$10)</x:f>
      </x:c>
      <x:c r="L13" s="260" t="str">
        <x:f>IF(F13="","",G13+K13)</x:f>
      </x:c>
      <x:c r="M13" s="260" t="str">
        <x:f>IF(F13="","",H13+I13)</x:f>
      </x:c>
      <x:c r="N13" s="260" t="str">
        <x:f>IF(F13="","",L13-M13)</x:f>
      </x:c>
      <x:c r="O13" s="260" t="str">
        <x:f>IF(F13="","",MAX(0,-N13))</x:f>
      </x:c>
      <x:c r="P13" s="261" t="str">
        <x:f>IF(F13="","",IF(N13&gt;=0,1,0))</x:f>
      </x:c>
      <x:c r="Q13" s="262" t="str">
        <x:f>IF(F13="","",IF(M13=0,1,MIN(1,MAX(0,L13/M13))))</x:f>
      </x:c>
      <x:c r="R13" s="263" t="str">
        <x:f>IF(F13="","",IF(AND(J13=1,P13=1),1,0))</x:f>
      </x:c>
      <x:c r="S13" s="215"/>
      <x:c r="T13" s="195"/>
      <x:c r="U13" s="195"/>
      <x:c r="V13" s="195"/>
      <x:c r="W13" s="195"/>
      <x:c r="X13" s="195"/>
      <x:c r="Y13" s="195"/>
      <x:c r="Z13" s="195"/>
    </x:row>
    <x:row r="14" ht="32" customHeight="1">
      <x:c r="A14" s="222"/>
      <x:c r="B14" s="236"/>
      <x:c r="C14" s="236"/>
      <x:c r="D14" s="237"/>
      <x:c r="E14" s="237"/>
      <x:c r="F14" s="237"/>
      <x:c r="G14" s="223"/>
      <x:c r="H14" s="223"/>
      <x:c r="I14" s="223"/>
      <x:c r="J14" s="258"/>
      <x:c r="K14" s="259" t="str">
        <x:f>IF(F14="","",D14*Normen!$G$9+E14*Normen!$G$10)</x:f>
      </x:c>
      <x:c r="L14" s="260" t="str">
        <x:f>IF(F14="","",G14+K14)</x:f>
      </x:c>
      <x:c r="M14" s="260" t="str">
        <x:f>IF(F14="","",H14+I14)</x:f>
      </x:c>
      <x:c r="N14" s="260" t="str">
        <x:f>IF(F14="","",L14-M14)</x:f>
      </x:c>
      <x:c r="O14" s="260" t="str">
        <x:f>IF(F14="","",MAX(0,-N14))</x:f>
      </x:c>
      <x:c r="P14" s="261" t="str">
        <x:f>IF(F14="","",IF(N14&gt;=0,1,0))</x:f>
      </x:c>
      <x:c r="Q14" s="262" t="str">
        <x:f>IF(F14="","",IF(M14=0,1,MIN(1,MAX(0,L14/M14))))</x:f>
      </x:c>
      <x:c r="R14" s="263" t="str">
        <x:f>IF(F14="","",IF(AND(J14=1,P14=1),1,0))</x:f>
      </x:c>
      <x:c r="S14" s="215"/>
      <x:c r="T14" s="195"/>
      <x:c r="U14" s="195"/>
      <x:c r="V14" s="195"/>
      <x:c r="W14" s="195"/>
      <x:c r="X14" s="195"/>
      <x:c r="Y14" s="195"/>
      <x:c r="Z14" s="195"/>
    </x:row>
    <x:row r="15" ht="32" customHeight="1">
      <x:c r="A15" s="222"/>
      <x:c r="B15" s="236"/>
      <x:c r="C15" s="236"/>
      <x:c r="D15" s="237"/>
      <x:c r="E15" s="237"/>
      <x:c r="F15" s="237"/>
      <x:c r="G15" s="223"/>
      <x:c r="H15" s="223"/>
      <x:c r="I15" s="223"/>
      <x:c r="J15" s="258"/>
      <x:c r="K15" s="259" t="str">
        <x:f>IF(F15="","",D15*Normen!$G$9+E15*Normen!$G$10)</x:f>
      </x:c>
      <x:c r="L15" s="260" t="str">
        <x:f>IF(F15="","",G15+K15)</x:f>
      </x:c>
      <x:c r="M15" s="260" t="str">
        <x:f>IF(F15="","",H15+I15)</x:f>
      </x:c>
      <x:c r="N15" s="260" t="str">
        <x:f>IF(F15="","",L15-M15)</x:f>
      </x:c>
      <x:c r="O15" s="260" t="str">
        <x:f>IF(F15="","",MAX(0,-N15))</x:f>
      </x:c>
      <x:c r="P15" s="261" t="str">
        <x:f>IF(F15="","",IF(N15&gt;=0,1,0))</x:f>
      </x:c>
      <x:c r="Q15" s="262" t="str">
        <x:f>IF(F15="","",IF(M15=0,1,MIN(1,MAX(0,L15/M15))))</x:f>
      </x:c>
      <x:c r="R15" s="263" t="str">
        <x:f>IF(F15="","",IF(AND(J15=1,P15=1),1,0))</x:f>
      </x:c>
      <x:c r="S15" s="215"/>
      <x:c r="T15" s="195"/>
      <x:c r="U15" s="195"/>
      <x:c r="V15" s="195"/>
      <x:c r="W15" s="195"/>
      <x:c r="X15" s="195"/>
      <x:c r="Y15" s="195"/>
      <x:c r="Z15" s="195"/>
    </x:row>
    <x:row r="16" ht="32" customHeight="1">
      <x:c r="A16" s="222"/>
      <x:c r="B16" s="236"/>
      <x:c r="C16" s="236"/>
      <x:c r="D16" s="237"/>
      <x:c r="E16" s="237"/>
      <x:c r="F16" s="237"/>
      <x:c r="G16" s="223"/>
      <x:c r="H16" s="223"/>
      <x:c r="I16" s="223"/>
      <x:c r="J16" s="258"/>
      <x:c r="K16" s="259" t="str">
        <x:f>IF(F16="","",D16*Normen!$G$9+E16*Normen!$G$10)</x:f>
      </x:c>
      <x:c r="L16" s="260" t="str">
        <x:f>IF(F16="","",G16+K16)</x:f>
      </x:c>
      <x:c r="M16" s="260" t="str">
        <x:f>IF(F16="","",H16+I16)</x:f>
      </x:c>
      <x:c r="N16" s="260" t="str">
        <x:f>IF(F16="","",L16-M16)</x:f>
      </x:c>
      <x:c r="O16" s="260" t="str">
        <x:f>IF(F16="","",MAX(0,-N16))</x:f>
      </x:c>
      <x:c r="P16" s="261" t="str">
        <x:f>IF(F16="","",IF(N16&gt;=0,1,0))</x:f>
      </x:c>
      <x:c r="Q16" s="262" t="str">
        <x:f>IF(F16="","",IF(M16=0,1,MIN(1,MAX(0,L16/M16))))</x:f>
      </x:c>
      <x:c r="R16" s="263" t="str">
        <x:f>IF(F16="","",IF(AND(J16=1,P16=1),1,0))</x:f>
      </x:c>
      <x:c r="S16" s="215"/>
      <x:c r="T16" s="195"/>
      <x:c r="U16" s="195"/>
      <x:c r="V16" s="195"/>
      <x:c r="W16" s="195"/>
      <x:c r="X16" s="195"/>
      <x:c r="Y16" s="195"/>
      <x:c r="Z16" s="195"/>
    </x:row>
    <x:row r="17" ht="32" customHeight="1">
      <x:c r="A17" s="222"/>
      <x:c r="B17" s="236"/>
      <x:c r="C17" s="236"/>
      <x:c r="D17" s="237"/>
      <x:c r="E17" s="237"/>
      <x:c r="F17" s="237"/>
      <x:c r="G17" s="223"/>
      <x:c r="H17" s="223"/>
      <x:c r="I17" s="223"/>
      <x:c r="J17" s="258"/>
      <x:c r="K17" s="259" t="str">
        <x:f>IF(F17="","",D17*Normen!$G$9+E17*Normen!$G$10)</x:f>
      </x:c>
      <x:c r="L17" s="260" t="str">
        <x:f>IF(F17="","",G17+K17)</x:f>
      </x:c>
      <x:c r="M17" s="260" t="str">
        <x:f>IF(F17="","",H17+I17)</x:f>
      </x:c>
      <x:c r="N17" s="260" t="str">
        <x:f>IF(F17="","",L17-M17)</x:f>
      </x:c>
      <x:c r="O17" s="260" t="str">
        <x:f>IF(F17="","",MAX(0,-N17))</x:f>
      </x:c>
      <x:c r="P17" s="261" t="str">
        <x:f>IF(F17="","",IF(N17&gt;=0,1,0))</x:f>
      </x:c>
      <x:c r="Q17" s="262" t="str">
        <x:f>IF(F17="","",IF(M17=0,1,MIN(1,MAX(0,L17/M17))))</x:f>
      </x:c>
      <x:c r="R17" s="263" t="str">
        <x:f>IF(F17="","",IF(AND(J17=1,P17=1),1,0))</x:f>
      </x:c>
      <x:c r="S17" s="215"/>
      <x:c r="T17" s="195"/>
      <x:c r="U17" s="195"/>
      <x:c r="V17" s="195"/>
      <x:c r="W17" s="195"/>
      <x:c r="X17" s="195"/>
      <x:c r="Y17" s="195"/>
      <x:c r="Z17" s="195"/>
    </x:row>
    <x:row r="18" ht="32" customHeight="1">
      <x:c r="A18" s="222"/>
      <x:c r="B18" s="236"/>
      <x:c r="C18" s="236"/>
      <x:c r="D18" s="237"/>
      <x:c r="E18" s="237"/>
      <x:c r="F18" s="237"/>
      <x:c r="G18" s="223"/>
      <x:c r="H18" s="223"/>
      <x:c r="I18" s="223"/>
      <x:c r="J18" s="258"/>
      <x:c r="K18" s="259" t="str">
        <x:f>IF(F18="","",D18*Normen!$G$9+E18*Normen!$G$10)</x:f>
      </x:c>
      <x:c r="L18" s="260" t="str">
        <x:f>IF(F18="","",G18+K18)</x:f>
      </x:c>
      <x:c r="M18" s="260" t="str">
        <x:f>IF(F18="","",H18+I18)</x:f>
      </x:c>
      <x:c r="N18" s="260" t="str">
        <x:f>IF(F18="","",L18-M18)</x:f>
      </x:c>
      <x:c r="O18" s="260" t="str">
        <x:f>IF(F18="","",MAX(0,-N18))</x:f>
      </x:c>
      <x:c r="P18" s="261" t="str">
        <x:f>IF(F18="","",IF(N18&gt;=0,1,0))</x:f>
      </x:c>
      <x:c r="Q18" s="262" t="str">
        <x:f>IF(F18="","",IF(M18=0,1,MIN(1,MAX(0,L18/M18))))</x:f>
      </x:c>
      <x:c r="R18" s="263" t="str">
        <x:f>IF(F18="","",IF(AND(J18=1,P18=1),1,0))</x:f>
      </x:c>
      <x:c r="S18" s="215"/>
      <x:c r="T18" s="195"/>
      <x:c r="U18" s="195"/>
      <x:c r="V18" s="195"/>
      <x:c r="W18" s="195"/>
      <x:c r="X18" s="195"/>
      <x:c r="Y18" s="195"/>
      <x:c r="Z18" s="195"/>
    </x:row>
    <x:row r="19" ht="32" customHeight="1">
      <x:c r="A19" s="222"/>
      <x:c r="B19" s="236"/>
      <x:c r="C19" s="236"/>
      <x:c r="D19" s="237"/>
      <x:c r="E19" s="237"/>
      <x:c r="F19" s="237"/>
      <x:c r="G19" s="223"/>
      <x:c r="H19" s="223"/>
      <x:c r="I19" s="223"/>
      <x:c r="J19" s="258"/>
      <x:c r="K19" s="259" t="str">
        <x:f>IF(F19="","",D19*Normen!$G$9+E19*Normen!$G$10)</x:f>
      </x:c>
      <x:c r="L19" s="260" t="str">
        <x:f>IF(F19="","",G19+K19)</x:f>
      </x:c>
      <x:c r="M19" s="260" t="str">
        <x:f>IF(F19="","",H19+I19)</x:f>
      </x:c>
      <x:c r="N19" s="260" t="str">
        <x:f>IF(F19="","",L19-M19)</x:f>
      </x:c>
      <x:c r="O19" s="260" t="str">
        <x:f>IF(F19="","",MAX(0,-N19))</x:f>
      </x:c>
      <x:c r="P19" s="261" t="str">
        <x:f>IF(F19="","",IF(N19&gt;=0,1,0))</x:f>
      </x:c>
      <x:c r="Q19" s="262" t="str">
        <x:f>IF(F19="","",IF(M19=0,1,MIN(1,MAX(0,L19/M19))))</x:f>
      </x:c>
      <x:c r="R19" s="263" t="str">
        <x:f>IF(F19="","",IF(AND(J19=1,P19=1),1,0))</x:f>
      </x:c>
      <x:c r="S19" s="215"/>
      <x:c r="T19" s="195"/>
      <x:c r="U19" s="195"/>
      <x:c r="V19" s="195"/>
      <x:c r="W19" s="195"/>
      <x:c r="X19" s="195"/>
      <x:c r="Y19" s="195"/>
      <x:c r="Z19" s="195"/>
    </x:row>
    <x:row r="20" ht="32" customHeight="1">
      <x:c r="A20" s="222"/>
      <x:c r="B20" s="236"/>
      <x:c r="C20" s="236"/>
      <x:c r="D20" s="237"/>
      <x:c r="E20" s="237"/>
      <x:c r="F20" s="237"/>
      <x:c r="G20" s="223"/>
      <x:c r="H20" s="223"/>
      <x:c r="I20" s="223"/>
      <x:c r="J20" s="258"/>
      <x:c r="K20" s="259" t="str">
        <x:f>IF(F20="","",D20*Normen!$G$9+E20*Normen!$G$10)</x:f>
      </x:c>
      <x:c r="L20" s="260" t="str">
        <x:f>IF(F20="","",G20+K20)</x:f>
      </x:c>
      <x:c r="M20" s="260" t="str">
        <x:f>IF(F20="","",H20+I20)</x:f>
      </x:c>
      <x:c r="N20" s="260" t="str">
        <x:f>IF(F20="","",L20-M20)</x:f>
      </x:c>
      <x:c r="O20" s="260" t="str">
        <x:f>IF(F20="","",MAX(0,-N20))</x:f>
      </x:c>
      <x:c r="P20" s="261" t="str">
        <x:f>IF(F20="","",IF(N20&gt;=0,1,0))</x:f>
      </x:c>
      <x:c r="Q20" s="262" t="str">
        <x:f>IF(F20="","",IF(M20=0,1,MIN(1,MAX(0,L20/M20))))</x:f>
      </x:c>
      <x:c r="R20" s="263" t="str">
        <x:f>IF(F20="","",IF(AND(J20=1,P20=1),1,0))</x:f>
      </x:c>
      <x:c r="S20" s="215"/>
      <x:c r="T20" s="195"/>
      <x:c r="U20" s="195"/>
      <x:c r="V20" s="195"/>
      <x:c r="W20" s="195"/>
      <x:c r="X20" s="195"/>
      <x:c r="Y20" s="195"/>
      <x:c r="Z20" s="195"/>
    </x:row>
    <x:row r="21" ht="32" customHeight="1">
      <x:c r="A21" s="222"/>
      <x:c r="B21" s="236"/>
      <x:c r="C21" s="236"/>
      <x:c r="D21" s="237"/>
      <x:c r="E21" s="237"/>
      <x:c r="F21" s="237"/>
      <x:c r="G21" s="223"/>
      <x:c r="H21" s="223"/>
      <x:c r="I21" s="223"/>
      <x:c r="J21" s="258"/>
      <x:c r="K21" s="259" t="str">
        <x:f>IF(F21="","",D21*Normen!$G$9+E21*Normen!$G$10)</x:f>
      </x:c>
      <x:c r="L21" s="260" t="str">
        <x:f>IF(F21="","",G21+K21)</x:f>
      </x:c>
      <x:c r="M21" s="260" t="str">
        <x:f>IF(F21="","",H21+I21)</x:f>
      </x:c>
      <x:c r="N21" s="260" t="str">
        <x:f>IF(F21="","",L21-M21)</x:f>
      </x:c>
      <x:c r="O21" s="260" t="str">
        <x:f>IF(F21="","",MAX(0,-N21))</x:f>
      </x:c>
      <x:c r="P21" s="261" t="str">
        <x:f>IF(F21="","",IF(N21&gt;=0,1,0))</x:f>
      </x:c>
      <x:c r="Q21" s="262" t="str">
        <x:f>IF(F21="","",IF(M21=0,1,MIN(1,MAX(0,L21/M21))))</x:f>
      </x:c>
      <x:c r="R21" s="263" t="str">
        <x:f>IF(F21="","",IF(AND(J21=1,P21=1),1,0))</x:f>
      </x:c>
      <x:c r="S21" s="215"/>
      <x:c r="T21" s="195"/>
      <x:c r="U21" s="195"/>
      <x:c r="V21" s="195"/>
      <x:c r="W21" s="195"/>
      <x:c r="X21" s="195"/>
      <x:c r="Y21" s="195"/>
      <x:c r="Z21" s="195"/>
    </x:row>
    <x:row r="22" ht="32" customHeight="1">
      <x:c r="A22" s="222"/>
      <x:c r="B22" s="236"/>
      <x:c r="C22" s="236"/>
      <x:c r="D22" s="237"/>
      <x:c r="E22" s="237"/>
      <x:c r="F22" s="237"/>
      <x:c r="G22" s="223"/>
      <x:c r="H22" s="223"/>
      <x:c r="I22" s="223"/>
      <x:c r="J22" s="258"/>
      <x:c r="K22" s="259" t="str">
        <x:f>IF(F22="","",D22*Normen!$G$9+E22*Normen!$G$10)</x:f>
      </x:c>
      <x:c r="L22" s="260" t="str">
        <x:f>IF(F22="","",G22+K22)</x:f>
      </x:c>
      <x:c r="M22" s="260" t="str">
        <x:f>IF(F22="","",H22+I22)</x:f>
      </x:c>
      <x:c r="N22" s="260" t="str">
        <x:f>IF(F22="","",L22-M22)</x:f>
      </x:c>
      <x:c r="O22" s="260" t="str">
        <x:f>IF(F22="","",MAX(0,-N22))</x:f>
      </x:c>
      <x:c r="P22" s="261" t="str">
        <x:f>IF(F22="","",IF(N22&gt;=0,1,0))</x:f>
      </x:c>
      <x:c r="Q22" s="262" t="str">
        <x:f>IF(F22="","",IF(M22=0,1,MIN(1,MAX(0,L22/M22))))</x:f>
      </x:c>
      <x:c r="R22" s="263" t="str">
        <x:f>IF(F22="","",IF(AND(J22=1,P22=1),1,0))</x:f>
      </x:c>
      <x:c r="S22" s="215"/>
      <x:c r="T22" s="195"/>
      <x:c r="U22" s="195"/>
      <x:c r="V22" s="195"/>
      <x:c r="W22" s="195"/>
      <x:c r="X22" s="195"/>
      <x:c r="Y22" s="195"/>
      <x:c r="Z22" s="195"/>
    </x:row>
    <x:row r="23" ht="32" customHeight="1">
      <x:c r="A23" s="222"/>
      <x:c r="B23" s="236"/>
      <x:c r="C23" s="236"/>
      <x:c r="D23" s="237"/>
      <x:c r="E23" s="237"/>
      <x:c r="F23" s="237"/>
      <x:c r="G23" s="223"/>
      <x:c r="H23" s="223"/>
      <x:c r="I23" s="223"/>
      <x:c r="J23" s="258"/>
      <x:c r="K23" s="259" t="str">
        <x:f>IF(F23="","",D23*Normen!$G$9+E23*Normen!$G$10)</x:f>
      </x:c>
      <x:c r="L23" s="260" t="str">
        <x:f>IF(F23="","",G23+K23)</x:f>
      </x:c>
      <x:c r="M23" s="260" t="str">
        <x:f>IF(F23="","",H23+I23)</x:f>
      </x:c>
      <x:c r="N23" s="260" t="str">
        <x:f>IF(F23="","",L23-M23)</x:f>
      </x:c>
      <x:c r="O23" s="260" t="str">
        <x:f>IF(F23="","",MAX(0,-N23))</x:f>
      </x:c>
      <x:c r="P23" s="261" t="str">
        <x:f>IF(F23="","",IF(N23&gt;=0,1,0))</x:f>
      </x:c>
      <x:c r="Q23" s="262" t="str">
        <x:f>IF(F23="","",IF(M23=0,1,MIN(1,MAX(0,L23/M23))))</x:f>
      </x:c>
      <x:c r="R23" s="263" t="str">
        <x:f>IF(F23="","",IF(AND(J23=1,P23=1),1,0))</x:f>
      </x:c>
      <x:c r="S23" s="215"/>
      <x:c r="T23" s="195"/>
      <x:c r="U23" s="195"/>
      <x:c r="V23" s="195"/>
      <x:c r="W23" s="195"/>
      <x:c r="X23" s="195"/>
      <x:c r="Y23" s="195"/>
      <x:c r="Z23" s="195"/>
    </x:row>
    <x:row r="24" ht="32" customHeight="1">
      <x:c r="A24" s="222"/>
      <x:c r="B24" s="236"/>
      <x:c r="C24" s="236"/>
      <x:c r="D24" s="237"/>
      <x:c r="E24" s="237"/>
      <x:c r="F24" s="237"/>
      <x:c r="G24" s="223"/>
      <x:c r="H24" s="223"/>
      <x:c r="I24" s="223"/>
      <x:c r="J24" s="258"/>
      <x:c r="K24" s="259" t="str">
        <x:f>IF(F24="","",D24*Normen!$G$9+E24*Normen!$G$10)</x:f>
      </x:c>
      <x:c r="L24" s="260" t="str">
        <x:f>IF(F24="","",G24+K24)</x:f>
      </x:c>
      <x:c r="M24" s="260" t="str">
        <x:f>IF(F24="","",H24+I24)</x:f>
      </x:c>
      <x:c r="N24" s="260" t="str">
        <x:f>IF(F24="","",L24-M24)</x:f>
      </x:c>
      <x:c r="O24" s="260" t="str">
        <x:f>IF(F24="","",MAX(0,-N24))</x:f>
      </x:c>
      <x:c r="P24" s="261" t="str">
        <x:f>IF(F24="","",IF(N24&gt;=0,1,0))</x:f>
      </x:c>
      <x:c r="Q24" s="262" t="str">
        <x:f>IF(F24="","",IF(M24=0,1,MIN(1,MAX(0,L24/M24))))</x:f>
      </x:c>
      <x:c r="R24" s="263" t="str">
        <x:f>IF(F24="","",IF(AND(J24=1,P24=1),1,0))</x:f>
      </x:c>
      <x:c r="S24" s="215"/>
      <x:c r="T24" s="195"/>
      <x:c r="U24" s="195"/>
      <x:c r="V24" s="195"/>
      <x:c r="W24" s="195"/>
      <x:c r="X24" s="195"/>
      <x:c r="Y24" s="195"/>
      <x:c r="Z24" s="195"/>
    </x:row>
    <x:row r="25" ht="32" customHeight="1">
      <x:c r="A25" s="227"/>
      <x:c r="B25" s="242"/>
      <x:c r="C25" s="242"/>
      <x:c r="D25" s="243"/>
      <x:c r="E25" s="243"/>
      <x:c r="F25" s="243"/>
      <x:c r="G25" s="228"/>
      <x:c r="H25" s="228"/>
      <x:c r="I25" s="228"/>
      <x:c r="J25" s="264"/>
      <x:c r="K25" s="265" t="str">
        <x:f>IF(F25="","",D25*Normen!$G$9+E25*Normen!$G$10)</x:f>
      </x:c>
      <x:c r="L25" s="266" t="str">
        <x:f>IF(F25="","",G25+K25)</x:f>
      </x:c>
      <x:c r="M25" s="266" t="str">
        <x:f>IF(F25="","",H25+I25)</x:f>
      </x:c>
      <x:c r="N25" s="266" t="str">
        <x:f>IF(F25="","",L25-M25)</x:f>
      </x:c>
      <x:c r="O25" s="266" t="str">
        <x:f>IF(F25="","",MAX(0,-N25))</x:f>
      </x:c>
      <x:c r="P25" s="267" t="str">
        <x:f>IF(F25="","",IF(N25&gt;=0,1,0))</x:f>
      </x:c>
      <x:c r="Q25" s="268" t="str">
        <x:f>IF(F25="","",IF(M25=0,1,MIN(1,MAX(0,L25/M25))))</x:f>
      </x:c>
      <x:c r="R25" s="269" t="str">
        <x:f>IF(F25="","",IF(AND(J25=1,P25=1),1,0))</x:f>
      </x:c>
      <x:c r="S25" s="248"/>
      <x:c r="T25" s="195"/>
      <x:c r="U25" s="195"/>
      <x:c r="V25" s="195"/>
      <x:c r="W25" s="195"/>
      <x:c r="X25" s="195"/>
      <x:c r="Y25" s="195"/>
      <x:c r="Z25" s="195"/>
    </x:row>
    <x:row r="26">
      <x:c r="A26" s="195"/>
      <x:c r="B26" s="195"/>
      <x:c r="C26" s="195"/>
      <x:c r="D26" s="195"/>
      <x:c r="E26" s="195"/>
      <x:c r="F26" s="195"/>
      <x:c r="G26" s="195"/>
      <x:c r="H26" s="195"/>
      <x:c r="I26" s="195"/>
      <x:c r="J26" s="195"/>
      <x:c r="K26" s="195"/>
      <x:c r="L26" s="195"/>
      <x:c r="M26" s="195"/>
      <x:c r="N26" s="195"/>
      <x:c r="O26" s="195"/>
      <x:c r="P26" s="195"/>
      <x:c r="Q26" s="195"/>
      <x:c r="R26" s="195"/>
      <x:c r="S26" s="195"/>
      <x:c r="T26" s="195"/>
      <x:c r="U26" s="195"/>
      <x:c r="V26" s="195"/>
      <x:c r="W26" s="195"/>
      <x:c r="X26" s="195"/>
      <x:c r="Y26" s="195"/>
      <x:c r="Z26" s="195"/>
    </x:row>
    <x:row r="27">
      <x:c r="A27" s="195"/>
      <x:c r="B27" s="195"/>
      <x:c r="C27" s="195"/>
      <x:c r="D27" s="195"/>
      <x:c r="E27" s="195"/>
      <x:c r="F27" s="195"/>
      <x:c r="G27" s="195"/>
      <x:c r="H27" s="195"/>
      <x:c r="I27" s="195"/>
      <x:c r="J27" s="195"/>
      <x:c r="K27" s="195"/>
      <x:c r="L27" s="195"/>
      <x:c r="M27" s="195"/>
      <x:c r="N27" s="195"/>
      <x:c r="O27" s="195"/>
      <x:c r="P27" s="195"/>
      <x:c r="Q27" s="195"/>
      <x:c r="R27" s="195"/>
      <x:c r="S27" s="195"/>
      <x:c r="T27" s="195"/>
      <x:c r="U27" s="195"/>
      <x:c r="V27" s="195"/>
      <x:c r="W27" s="195"/>
      <x:c r="X27" s="195"/>
      <x:c r="Y27" s="195"/>
      <x:c r="Z27" s="195"/>
    </x:row>
    <x:row r="28">
      <x:c r="A28" s="195"/>
      <x:c r="B28" s="195"/>
      <x:c r="C28" s="195"/>
      <x:c r="D28" s="195"/>
      <x:c r="E28" s="195"/>
      <x:c r="F28" s="195"/>
      <x:c r="G28" s="195"/>
      <x:c r="H28" s="195"/>
      <x:c r="I28" s="195"/>
      <x:c r="J28" s="195"/>
      <x:c r="K28" s="195"/>
      <x:c r="L28" s="195"/>
      <x:c r="M28" s="195"/>
      <x:c r="N28" s="195"/>
      <x:c r="O28" s="195"/>
      <x:c r="P28" s="195"/>
      <x:c r="Q28" s="195"/>
      <x:c r="R28" s="195"/>
      <x:c r="S28" s="195"/>
      <x:c r="T28" s="195"/>
      <x:c r="U28" s="195"/>
      <x:c r="V28" s="195"/>
      <x:c r="W28" s="195"/>
      <x:c r="X28" s="195"/>
      <x:c r="Y28" s="195"/>
      <x:c r="Z28" s="195"/>
    </x:row>
    <x:row r="29">
      <x:c r="A29" s="195"/>
      <x:c r="B29" s="195"/>
      <x:c r="C29" s="195"/>
      <x:c r="D29" s="195"/>
      <x:c r="E29" s="195"/>
      <x:c r="F29" s="195"/>
      <x:c r="G29" s="195"/>
      <x:c r="H29" s="195"/>
      <x:c r="I29" s="195"/>
      <x:c r="J29" s="195"/>
      <x:c r="K29" s="195"/>
      <x:c r="L29" s="195"/>
      <x:c r="M29" s="195"/>
      <x:c r="N29" s="195"/>
      <x:c r="O29" s="195"/>
      <x:c r="P29" s="195"/>
      <x:c r="Q29" s="195"/>
      <x:c r="R29" s="195"/>
      <x:c r="S29" s="195"/>
      <x:c r="T29" s="195"/>
      <x:c r="U29" s="195"/>
      <x:c r="V29" s="195"/>
      <x:c r="W29" s="195"/>
      <x:c r="X29" s="195"/>
      <x:c r="Y29" s="195"/>
      <x:c r="Z29" s="195"/>
    </x:row>
    <x:row r="30">
      <x:c r="A30" s="195"/>
      <x:c r="B30" s="195"/>
      <x:c r="C30" s="195"/>
      <x:c r="D30" s="195"/>
      <x:c r="E30" s="195"/>
      <x:c r="F30" s="195"/>
      <x:c r="G30" s="195"/>
      <x:c r="H30" s="195"/>
      <x:c r="I30" s="195"/>
      <x:c r="J30" s="195"/>
      <x:c r="K30" s="195"/>
      <x:c r="L30" s="195"/>
      <x:c r="M30" s="195"/>
      <x:c r="N30" s="195"/>
      <x:c r="O30" s="195"/>
      <x:c r="P30" s="195"/>
      <x:c r="Q30" s="195"/>
      <x:c r="R30" s="195"/>
      <x:c r="S30" s="195"/>
      <x:c r="T30" s="195"/>
      <x:c r="U30" s="195"/>
      <x:c r="V30" s="195"/>
      <x:c r="W30" s="195"/>
      <x:c r="X30" s="195"/>
      <x:c r="Y30" s="195"/>
      <x:c r="Z30" s="195"/>
    </x:row>
    <x:row r="31">
      <x:c r="A31" s="195"/>
      <x:c r="B31" s="195"/>
      <x:c r="C31" s="195"/>
      <x:c r="D31" s="195"/>
      <x:c r="E31" s="195"/>
      <x:c r="F31" s="195"/>
      <x:c r="G31" s="195"/>
      <x:c r="H31" s="195"/>
      <x:c r="I31" s="195"/>
      <x:c r="J31" s="195"/>
      <x:c r="K31" s="195"/>
      <x:c r="L31" s="195"/>
      <x:c r="M31" s="195"/>
      <x:c r="N31" s="195"/>
      <x:c r="O31" s="195"/>
      <x:c r="P31" s="195"/>
      <x:c r="Q31" s="195"/>
      <x:c r="R31" s="195"/>
      <x:c r="S31" s="195"/>
      <x:c r="T31" s="195"/>
      <x:c r="U31" s="195"/>
      <x:c r="V31" s="195"/>
      <x:c r="W31" s="195"/>
      <x:c r="X31" s="195"/>
      <x:c r="Y31" s="195"/>
      <x:c r="Z31" s="195"/>
    </x:row>
    <x:row r="32">
      <x:c r="A32" s="195"/>
      <x:c r="B32" s="195"/>
      <x:c r="C32" s="195"/>
      <x:c r="D32" s="195"/>
      <x:c r="E32" s="195"/>
      <x:c r="F32" s="195"/>
      <x:c r="G32" s="195"/>
      <x:c r="H32" s="195"/>
      <x:c r="I32" s="195"/>
      <x:c r="J32" s="195"/>
      <x:c r="K32" s="195"/>
      <x:c r="L32" s="195"/>
      <x:c r="M32" s="195"/>
      <x:c r="N32" s="195"/>
      <x:c r="O32" s="195"/>
      <x:c r="P32" s="195"/>
      <x:c r="Q32" s="195"/>
      <x:c r="R32" s="195"/>
      <x:c r="S32" s="195"/>
      <x:c r="T32" s="195"/>
      <x:c r="U32" s="195"/>
      <x:c r="V32" s="195"/>
      <x:c r="W32" s="195"/>
      <x:c r="X32" s="195"/>
      <x:c r="Y32" s="195"/>
      <x:c r="Z32" s="195"/>
    </x:row>
    <x:row r="33">
      <x:c r="A33" s="195"/>
      <x:c r="B33" s="195"/>
      <x:c r="C33" s="195"/>
      <x:c r="D33" s="195"/>
      <x:c r="E33" s="195"/>
      <x:c r="F33" s="195"/>
      <x:c r="G33" s="195"/>
      <x:c r="H33" s="195"/>
      <x:c r="I33" s="195"/>
      <x:c r="J33" s="195"/>
      <x:c r="K33" s="195"/>
      <x:c r="L33" s="195"/>
      <x:c r="M33" s="195"/>
      <x:c r="N33" s="195"/>
      <x:c r="O33" s="195"/>
      <x:c r="P33" s="195"/>
      <x:c r="Q33" s="195"/>
      <x:c r="R33" s="195"/>
      <x:c r="S33" s="195"/>
      <x:c r="T33" s="195"/>
      <x:c r="U33" s="195"/>
      <x:c r="V33" s="195"/>
      <x:c r="W33" s="195"/>
      <x:c r="X33" s="195"/>
      <x:c r="Y33" s="195"/>
      <x:c r="Z33" s="195"/>
    </x:row>
    <x:row r="34">
      <x:c r="A34" s="195"/>
      <x:c r="B34" s="195"/>
      <x:c r="C34" s="195"/>
      <x:c r="D34" s="195"/>
      <x:c r="E34" s="195"/>
      <x:c r="F34" s="195"/>
      <x:c r="G34" s="195"/>
      <x:c r="H34" s="195"/>
      <x:c r="I34" s="195"/>
      <x:c r="J34" s="195"/>
      <x:c r="K34" s="195"/>
      <x:c r="L34" s="195"/>
      <x:c r="M34" s="195"/>
      <x:c r="N34" s="195"/>
      <x:c r="O34" s="195"/>
      <x:c r="P34" s="195"/>
      <x:c r="Q34" s="195"/>
      <x:c r="R34" s="195"/>
      <x:c r="S34" s="195"/>
      <x:c r="T34" s="195"/>
      <x:c r="U34" s="195"/>
      <x:c r="V34" s="195"/>
      <x:c r="W34" s="195"/>
      <x:c r="X34" s="195"/>
      <x:c r="Y34" s="195"/>
      <x:c r="Z34" s="195"/>
    </x:row>
    <x:row r="35">
      <x:c r="A35" s="195"/>
      <x:c r="B35" s="195"/>
      <x:c r="C35" s="195"/>
      <x:c r="D35" s="195"/>
      <x:c r="E35" s="195"/>
      <x:c r="F35" s="195"/>
      <x:c r="G35" s="195"/>
      <x:c r="H35" s="195"/>
      <x:c r="I35" s="195"/>
      <x:c r="J35" s="195"/>
      <x:c r="K35" s="195"/>
      <x:c r="L35" s="195"/>
      <x:c r="M35" s="195"/>
      <x:c r="N35" s="195"/>
      <x:c r="O35" s="195"/>
      <x:c r="P35" s="195"/>
      <x:c r="Q35" s="195"/>
      <x:c r="R35" s="195"/>
      <x:c r="S35" s="195"/>
      <x:c r="T35" s="195"/>
      <x:c r="U35" s="195"/>
      <x:c r="V35" s="195"/>
      <x:c r="W35" s="195"/>
      <x:c r="X35" s="195"/>
      <x:c r="Y35" s="195"/>
      <x:c r="Z35" s="195"/>
    </x:row>
    <x:row r="36">
      <x:c r="A36" s="195"/>
      <x:c r="B36" s="195"/>
      <x:c r="C36" s="195"/>
      <x:c r="D36" s="195"/>
      <x:c r="E36" s="195"/>
      <x:c r="F36" s="195"/>
      <x:c r="G36" s="195"/>
      <x:c r="H36" s="195"/>
      <x:c r="I36" s="195"/>
      <x:c r="J36" s="195"/>
      <x:c r="K36" s="195"/>
      <x:c r="L36" s="195"/>
      <x:c r="M36" s="195"/>
      <x:c r="N36" s="195"/>
      <x:c r="O36" s="195"/>
      <x:c r="P36" s="195"/>
      <x:c r="Q36" s="195"/>
      <x:c r="R36" s="195"/>
      <x:c r="S36" s="195"/>
      <x:c r="T36" s="195"/>
      <x:c r="U36" s="195"/>
      <x:c r="V36" s="195"/>
      <x:c r="W36" s="195"/>
      <x:c r="X36" s="195"/>
      <x:c r="Y36" s="195"/>
      <x:c r="Z36" s="195"/>
    </x:row>
    <x:row r="37">
      <x:c r="A37" s="195"/>
      <x:c r="B37" s="195"/>
      <x:c r="C37" s="195"/>
      <x:c r="D37" s="195"/>
      <x:c r="E37" s="195"/>
      <x:c r="F37" s="195"/>
      <x:c r="G37" s="195"/>
      <x:c r="H37" s="195"/>
      <x:c r="I37" s="195"/>
      <x:c r="J37" s="195"/>
      <x:c r="K37" s="195"/>
      <x:c r="L37" s="195"/>
      <x:c r="M37" s="195"/>
      <x:c r="N37" s="195"/>
      <x:c r="O37" s="195"/>
      <x:c r="P37" s="195"/>
      <x:c r="Q37" s="195"/>
      <x:c r="R37" s="195"/>
      <x:c r="S37" s="195"/>
      <x:c r="T37" s="195"/>
      <x:c r="U37" s="195"/>
      <x:c r="V37" s="195"/>
      <x:c r="W37" s="195"/>
      <x:c r="X37" s="195"/>
      <x:c r="Y37" s="195"/>
      <x:c r="Z37" s="195"/>
    </x:row>
    <x:row r="38">
      <x:c r="A38" s="195"/>
      <x:c r="B38" s="195"/>
      <x:c r="C38" s="195"/>
      <x:c r="D38" s="195"/>
      <x:c r="E38" s="195"/>
      <x:c r="F38" s="195"/>
      <x:c r="G38" s="195"/>
      <x:c r="H38" s="195"/>
      <x:c r="I38" s="195"/>
      <x:c r="J38" s="195"/>
      <x:c r="K38" s="195"/>
      <x:c r="L38" s="195"/>
      <x:c r="M38" s="195"/>
      <x:c r="N38" s="195"/>
      <x:c r="O38" s="195"/>
      <x:c r="P38" s="195"/>
      <x:c r="Q38" s="195"/>
      <x:c r="R38" s="195"/>
      <x:c r="S38" s="195"/>
      <x:c r="T38" s="195"/>
      <x:c r="U38" s="195"/>
      <x:c r="V38" s="195"/>
      <x:c r="W38" s="195"/>
      <x:c r="X38" s="195"/>
      <x:c r="Y38" s="195"/>
      <x:c r="Z38" s="195"/>
    </x:row>
    <x:row r="39">
      <x:c r="A39" s="195"/>
      <x:c r="B39" s="195"/>
      <x:c r="C39" s="195"/>
      <x:c r="D39" s="195"/>
      <x:c r="E39" s="195"/>
      <x:c r="F39" s="195"/>
      <x:c r="G39" s="195"/>
      <x:c r="H39" s="195"/>
      <x:c r="I39" s="195"/>
      <x:c r="J39" s="195"/>
      <x:c r="K39" s="195"/>
      <x:c r="L39" s="195"/>
      <x:c r="M39" s="195"/>
      <x:c r="N39" s="195"/>
      <x:c r="O39" s="195"/>
      <x:c r="P39" s="195"/>
      <x:c r="Q39" s="195"/>
      <x:c r="R39" s="195"/>
      <x:c r="S39" s="195"/>
      <x:c r="T39" s="195"/>
      <x:c r="U39" s="195"/>
      <x:c r="V39" s="195"/>
      <x:c r="W39" s="195"/>
      <x:c r="X39" s="195"/>
      <x:c r="Y39" s="195"/>
      <x:c r="Z39" s="195"/>
    </x:row>
    <x:row r="40">
      <x:c r="A40" s="195"/>
      <x:c r="B40" s="195"/>
      <x:c r="C40" s="195"/>
      <x:c r="D40" s="195"/>
      <x:c r="E40" s="195"/>
      <x:c r="F40" s="195"/>
      <x:c r="G40" s="195"/>
      <x:c r="H40" s="195"/>
      <x:c r="I40" s="195"/>
      <x:c r="J40" s="195"/>
      <x:c r="K40" s="195"/>
      <x:c r="L40" s="195"/>
      <x:c r="M40" s="195"/>
      <x:c r="N40" s="195"/>
      <x:c r="O40" s="195"/>
      <x:c r="P40" s="195"/>
      <x:c r="Q40" s="195"/>
      <x:c r="R40" s="195"/>
      <x:c r="S40" s="195"/>
      <x:c r="T40" s="195"/>
      <x:c r="U40" s="195"/>
      <x:c r="V40" s="195"/>
      <x:c r="W40" s="195"/>
      <x:c r="X40" s="195"/>
      <x:c r="Y40" s="195"/>
      <x:c r="Z40" s="195"/>
    </x:row>
    <x:row r="41">
      <x:c r="A41" s="195"/>
      <x:c r="B41" s="195"/>
      <x:c r="C41" s="195"/>
      <x:c r="D41" s="195"/>
      <x:c r="E41" s="195"/>
      <x:c r="F41" s="195"/>
      <x:c r="G41" s="195"/>
      <x:c r="H41" s="195"/>
      <x:c r="I41" s="195"/>
      <x:c r="J41" s="195"/>
      <x:c r="K41" s="195"/>
      <x:c r="L41" s="195"/>
      <x:c r="M41" s="195"/>
      <x:c r="N41" s="195"/>
      <x:c r="O41" s="195"/>
      <x:c r="P41" s="195"/>
      <x:c r="Q41" s="195"/>
      <x:c r="R41" s="195"/>
      <x:c r="S41" s="195"/>
      <x:c r="T41" s="195"/>
      <x:c r="U41" s="195"/>
      <x:c r="V41" s="195"/>
      <x:c r="W41" s="195"/>
      <x:c r="X41" s="195"/>
      <x:c r="Y41" s="195"/>
      <x:c r="Z41" s="195"/>
    </x:row>
    <x:row r="42">
      <x:c r="A42" s="195"/>
      <x:c r="B42" s="195"/>
      <x:c r="C42" s="195"/>
      <x:c r="D42" s="195"/>
      <x:c r="E42" s="195"/>
      <x:c r="F42" s="195"/>
      <x:c r="G42" s="195"/>
      <x:c r="H42" s="195"/>
      <x:c r="I42" s="195"/>
      <x:c r="J42" s="195"/>
      <x:c r="K42" s="195"/>
      <x:c r="L42" s="195"/>
      <x:c r="M42" s="195"/>
      <x:c r="N42" s="195"/>
      <x:c r="O42" s="195"/>
      <x:c r="P42" s="195"/>
      <x:c r="Q42" s="195"/>
      <x:c r="R42" s="195"/>
      <x:c r="S42" s="195"/>
      <x:c r="T42" s="195"/>
      <x:c r="U42" s="195"/>
      <x:c r="V42" s="195"/>
      <x:c r="W42" s="195"/>
      <x:c r="X42" s="195"/>
      <x:c r="Y42" s="195"/>
      <x:c r="Z42" s="195"/>
    </x:row>
    <x:row r="43">
      <x:c r="A43" s="195"/>
      <x:c r="B43" s="195"/>
      <x:c r="C43" s="195"/>
      <x:c r="D43" s="195"/>
      <x:c r="E43" s="195"/>
      <x:c r="F43" s="195"/>
      <x:c r="G43" s="195"/>
      <x:c r="H43" s="195"/>
      <x:c r="I43" s="195"/>
      <x:c r="J43" s="195"/>
      <x:c r="K43" s="195"/>
      <x:c r="L43" s="195"/>
      <x:c r="M43" s="195"/>
      <x:c r="N43" s="195"/>
      <x:c r="O43" s="195"/>
      <x:c r="P43" s="195"/>
      <x:c r="Q43" s="195"/>
      <x:c r="R43" s="195"/>
      <x:c r="S43" s="195"/>
      <x:c r="T43" s="195"/>
      <x:c r="U43" s="195"/>
      <x:c r="V43" s="195"/>
      <x:c r="W43" s="195"/>
      <x:c r="X43" s="195"/>
      <x:c r="Y43" s="195"/>
      <x:c r="Z43" s="195"/>
    </x:row>
    <x:row r="44">
      <x:c r="A44" s="195"/>
      <x:c r="B44" s="195"/>
      <x:c r="C44" s="195"/>
      <x:c r="D44" s="195"/>
      <x:c r="E44" s="195"/>
      <x:c r="F44" s="195"/>
      <x:c r="G44" s="195"/>
      <x:c r="H44" s="195"/>
      <x:c r="I44" s="195"/>
      <x:c r="J44" s="195"/>
      <x:c r="K44" s="195"/>
      <x:c r="L44" s="195"/>
      <x:c r="M44" s="195"/>
      <x:c r="N44" s="195"/>
      <x:c r="O44" s="195"/>
      <x:c r="P44" s="195"/>
      <x:c r="Q44" s="195"/>
      <x:c r="R44" s="195"/>
      <x:c r="S44" s="195"/>
      <x:c r="T44" s="195"/>
      <x:c r="U44" s="195"/>
      <x:c r="V44" s="195"/>
      <x:c r="W44" s="195"/>
      <x:c r="X44" s="195"/>
      <x:c r="Y44" s="195"/>
      <x:c r="Z44" s="195"/>
    </x:row>
    <x:row r="45">
      <x:c r="A45" s="195"/>
      <x:c r="B45" s="195"/>
      <x:c r="C45" s="195"/>
      <x:c r="D45" s="195"/>
      <x:c r="E45" s="195"/>
      <x:c r="F45" s="195"/>
      <x:c r="G45" s="195"/>
      <x:c r="H45" s="195"/>
      <x:c r="I45" s="195"/>
      <x:c r="J45" s="195"/>
      <x:c r="K45" s="195"/>
      <x:c r="L45" s="195"/>
      <x:c r="M45" s="195"/>
      <x:c r="N45" s="195"/>
      <x:c r="O45" s="195"/>
      <x:c r="P45" s="195"/>
      <x:c r="Q45" s="195"/>
      <x:c r="R45" s="195"/>
      <x:c r="S45" s="195"/>
      <x:c r="T45" s="195"/>
      <x:c r="U45" s="195"/>
      <x:c r="V45" s="195"/>
      <x:c r="W45" s="195"/>
      <x:c r="X45" s="195"/>
      <x:c r="Y45" s="195"/>
      <x:c r="Z45" s="195"/>
    </x:row>
    <x:row r="46">
      <x:c r="A46" s="195"/>
      <x:c r="B46" s="195"/>
      <x:c r="C46" s="195"/>
      <x:c r="D46" s="195"/>
      <x:c r="E46" s="195"/>
      <x:c r="F46" s="195"/>
      <x:c r="G46" s="195"/>
      <x:c r="H46" s="195"/>
      <x:c r="I46" s="195"/>
      <x:c r="J46" s="195"/>
      <x:c r="K46" s="195"/>
      <x:c r="L46" s="195"/>
      <x:c r="M46" s="195"/>
      <x:c r="N46" s="195"/>
      <x:c r="O46" s="195"/>
      <x:c r="P46" s="195"/>
      <x:c r="Q46" s="195"/>
      <x:c r="R46" s="195"/>
      <x:c r="S46" s="195"/>
      <x:c r="T46" s="195"/>
      <x:c r="U46" s="195"/>
      <x:c r="V46" s="195"/>
      <x:c r="W46" s="195"/>
      <x:c r="X46" s="195"/>
      <x:c r="Y46" s="195"/>
      <x:c r="Z46" s="195"/>
    </x:row>
    <x:row r="47">
      <x:c r="A47" s="195"/>
      <x:c r="B47" s="195"/>
      <x:c r="C47" s="195"/>
      <x:c r="D47" s="195"/>
      <x:c r="E47" s="195"/>
      <x:c r="F47" s="195"/>
      <x:c r="G47" s="195"/>
      <x:c r="H47" s="195"/>
      <x:c r="I47" s="195"/>
      <x:c r="J47" s="195"/>
      <x:c r="K47" s="195"/>
      <x:c r="L47" s="195"/>
      <x:c r="M47" s="195"/>
      <x:c r="N47" s="195"/>
      <x:c r="O47" s="195"/>
      <x:c r="P47" s="195"/>
      <x:c r="Q47" s="195"/>
      <x:c r="R47" s="195"/>
      <x:c r="S47" s="195"/>
      <x:c r="T47" s="195"/>
      <x:c r="U47" s="195"/>
      <x:c r="V47" s="195"/>
      <x:c r="W47" s="195"/>
      <x:c r="X47" s="195"/>
      <x:c r="Y47" s="195"/>
      <x:c r="Z47" s="195"/>
    </x:row>
    <x:row r="48">
      <x:c r="A48" s="195"/>
      <x:c r="B48" s="195"/>
      <x:c r="C48" s="195"/>
      <x:c r="D48" s="195"/>
      <x:c r="E48" s="195"/>
      <x:c r="F48" s="195"/>
      <x:c r="G48" s="195"/>
      <x:c r="H48" s="195"/>
      <x:c r="I48" s="195"/>
      <x:c r="J48" s="195"/>
      <x:c r="K48" s="195"/>
      <x:c r="L48" s="195"/>
      <x:c r="M48" s="195"/>
      <x:c r="N48" s="195"/>
      <x:c r="O48" s="195"/>
      <x:c r="P48" s="195"/>
      <x:c r="Q48" s="195"/>
      <x:c r="R48" s="195"/>
      <x:c r="S48" s="195"/>
      <x:c r="T48" s="195"/>
      <x:c r="U48" s="195"/>
      <x:c r="V48" s="195"/>
      <x:c r="W48" s="195"/>
      <x:c r="X48" s="195"/>
      <x:c r="Y48" s="195"/>
      <x:c r="Z48" s="195"/>
    </x:row>
    <x:row r="49">
      <x:c r="A49" s="195"/>
      <x:c r="B49" s="195"/>
      <x:c r="C49" s="195"/>
      <x:c r="D49" s="195"/>
      <x:c r="E49" s="195"/>
      <x:c r="F49" s="195"/>
      <x:c r="G49" s="195"/>
      <x:c r="H49" s="195"/>
      <x:c r="I49" s="195"/>
      <x:c r="J49" s="195"/>
      <x:c r="K49" s="195"/>
      <x:c r="L49" s="195"/>
      <x:c r="M49" s="195"/>
      <x:c r="N49" s="195"/>
      <x:c r="O49" s="195"/>
      <x:c r="P49" s="195"/>
      <x:c r="Q49" s="195"/>
      <x:c r="R49" s="195"/>
      <x:c r="S49" s="195"/>
      <x:c r="T49" s="195"/>
      <x:c r="U49" s="195"/>
      <x:c r="V49" s="195"/>
      <x:c r="W49" s="195"/>
      <x:c r="X49" s="195"/>
      <x:c r="Y49" s="195"/>
      <x:c r="Z49" s="195"/>
    </x:row>
    <x:row r="50">
      <x:c r="A50" s="195"/>
      <x:c r="B50" s="195"/>
      <x:c r="C50" s="195"/>
      <x:c r="D50" s="195"/>
      <x:c r="E50" s="195"/>
      <x:c r="F50" s="195"/>
      <x:c r="G50" s="195"/>
      <x:c r="H50" s="195"/>
      <x:c r="I50" s="195"/>
      <x:c r="J50" s="195"/>
      <x:c r="K50" s="195"/>
      <x:c r="L50" s="195"/>
      <x:c r="M50" s="195"/>
      <x:c r="N50" s="195"/>
      <x:c r="O50" s="195"/>
      <x:c r="P50" s="195"/>
      <x:c r="Q50" s="195"/>
      <x:c r="R50" s="195"/>
      <x:c r="S50" s="195"/>
      <x:c r="T50" s="195"/>
      <x:c r="U50" s="195"/>
      <x:c r="V50" s="195"/>
      <x:c r="W50" s="195"/>
      <x:c r="X50" s="195"/>
      <x:c r="Y50" s="195"/>
      <x:c r="Z50" s="195"/>
    </x:row>
    <x:row r="51">
      <x:c r="A51" s="195"/>
      <x:c r="B51" s="195"/>
      <x:c r="C51" s="195"/>
      <x:c r="D51" s="195"/>
      <x:c r="E51" s="195"/>
      <x:c r="F51" s="195"/>
      <x:c r="G51" s="195"/>
      <x:c r="H51" s="195"/>
      <x:c r="I51" s="195"/>
      <x:c r="J51" s="195"/>
      <x:c r="K51" s="195"/>
      <x:c r="L51" s="195"/>
      <x:c r="M51" s="195"/>
      <x:c r="N51" s="195"/>
      <x:c r="O51" s="195"/>
      <x:c r="P51" s="195"/>
      <x:c r="Q51" s="195"/>
      <x:c r="R51" s="195"/>
      <x:c r="S51" s="195"/>
      <x:c r="T51" s="195"/>
      <x:c r="U51" s="195"/>
      <x:c r="V51" s="195"/>
      <x:c r="W51" s="195"/>
      <x:c r="X51" s="195"/>
      <x:c r="Y51" s="195"/>
      <x:c r="Z51" s="195"/>
    </x:row>
    <x:row r="52">
      <x:c r="A52" s="195"/>
      <x:c r="B52" s="195"/>
      <x:c r="C52" s="195"/>
      <x:c r="D52" s="195"/>
      <x:c r="E52" s="195"/>
      <x:c r="F52" s="195"/>
      <x:c r="G52" s="195"/>
      <x:c r="H52" s="195"/>
      <x:c r="I52" s="195"/>
      <x:c r="J52" s="195"/>
      <x:c r="K52" s="195"/>
      <x:c r="L52" s="195"/>
      <x:c r="M52" s="195"/>
      <x:c r="N52" s="195"/>
      <x:c r="O52" s="195"/>
      <x:c r="P52" s="195"/>
      <x:c r="Q52" s="195"/>
      <x:c r="R52" s="195"/>
      <x:c r="S52" s="195"/>
      <x:c r="T52" s="195"/>
      <x:c r="U52" s="195"/>
      <x:c r="V52" s="195"/>
      <x:c r="W52" s="195"/>
      <x:c r="X52" s="195"/>
      <x:c r="Y52" s="195"/>
      <x:c r="Z52" s="195"/>
    </x:row>
    <x:row r="53">
      <x:c r="A53" s="195"/>
      <x:c r="B53" s="195"/>
      <x:c r="C53" s="195"/>
      <x:c r="D53" s="195"/>
      <x:c r="E53" s="195"/>
      <x:c r="F53" s="195"/>
      <x:c r="G53" s="195"/>
      <x:c r="H53" s="195"/>
      <x:c r="I53" s="195"/>
      <x:c r="J53" s="195"/>
      <x:c r="K53" s="195"/>
      <x:c r="L53" s="195"/>
      <x:c r="M53" s="195"/>
      <x:c r="N53" s="195"/>
      <x:c r="O53" s="195"/>
      <x:c r="P53" s="195"/>
      <x:c r="Q53" s="195"/>
      <x:c r="R53" s="195"/>
      <x:c r="S53" s="195"/>
      <x:c r="T53" s="195"/>
      <x:c r="U53" s="195"/>
      <x:c r="V53" s="195"/>
      <x:c r="W53" s="195"/>
      <x:c r="X53" s="195"/>
      <x:c r="Y53" s="195"/>
      <x:c r="Z53" s="195"/>
    </x:row>
    <x:row r="54">
      <x:c r="A54" s="195"/>
      <x:c r="B54" s="195"/>
      <x:c r="C54" s="195"/>
      <x:c r="D54" s="195"/>
      <x:c r="E54" s="195"/>
      <x:c r="F54" s="195"/>
      <x:c r="G54" s="195"/>
      <x:c r="H54" s="195"/>
      <x:c r="I54" s="195"/>
      <x:c r="J54" s="195"/>
      <x:c r="K54" s="195"/>
      <x:c r="L54" s="195"/>
      <x:c r="M54" s="195"/>
      <x:c r="N54" s="195"/>
      <x:c r="O54" s="195"/>
      <x:c r="P54" s="195"/>
      <x:c r="Q54" s="195"/>
      <x:c r="R54" s="195"/>
      <x:c r="S54" s="195"/>
      <x:c r="T54" s="195"/>
      <x:c r="U54" s="195"/>
      <x:c r="V54" s="195"/>
      <x:c r="W54" s="195"/>
      <x:c r="X54" s="195"/>
      <x:c r="Y54" s="195"/>
      <x:c r="Z54" s="195"/>
    </x:row>
    <x:row r="55">
      <x:c r="A55" s="195"/>
      <x:c r="B55" s="195"/>
      <x:c r="C55" s="195"/>
      <x:c r="D55" s="195"/>
      <x:c r="E55" s="195"/>
      <x:c r="F55" s="195"/>
      <x:c r="G55" s="195"/>
      <x:c r="H55" s="195"/>
      <x:c r="I55" s="195"/>
      <x:c r="J55" s="195"/>
      <x:c r="K55" s="195"/>
      <x:c r="L55" s="195"/>
      <x:c r="M55" s="195"/>
      <x:c r="N55" s="195"/>
      <x:c r="O55" s="195"/>
      <x:c r="P55" s="195"/>
      <x:c r="Q55" s="195"/>
      <x:c r="R55" s="195"/>
      <x:c r="S55" s="195"/>
      <x:c r="T55" s="195"/>
      <x:c r="U55" s="195"/>
      <x:c r="V55" s="195"/>
      <x:c r="W55" s="195"/>
      <x:c r="X55" s="195"/>
      <x:c r="Y55" s="195"/>
      <x:c r="Z55" s="195"/>
    </x:row>
    <x:row r="56">
      <x:c r="A56" s="195"/>
      <x:c r="B56" s="195"/>
      <x:c r="C56" s="195"/>
      <x:c r="D56" s="195"/>
      <x:c r="E56" s="195"/>
      <x:c r="F56" s="195"/>
      <x:c r="G56" s="195"/>
      <x:c r="H56" s="195"/>
      <x:c r="I56" s="195"/>
      <x:c r="J56" s="195"/>
      <x:c r="K56" s="195"/>
      <x:c r="L56" s="195"/>
      <x:c r="M56" s="195"/>
      <x:c r="N56" s="195"/>
      <x:c r="O56" s="195"/>
      <x:c r="P56" s="195"/>
      <x:c r="Q56" s="195"/>
      <x:c r="R56" s="195"/>
      <x:c r="S56" s="195"/>
      <x:c r="T56" s="195"/>
      <x:c r="U56" s="195"/>
      <x:c r="V56" s="195"/>
      <x:c r="W56" s="195"/>
      <x:c r="X56" s="195"/>
      <x:c r="Y56" s="195"/>
      <x:c r="Z56" s="195"/>
    </x:row>
    <x:row r="57">
      <x:c r="A57" s="195"/>
      <x:c r="B57" s="195"/>
      <x:c r="C57" s="195"/>
      <x:c r="D57" s="195"/>
      <x:c r="E57" s="195"/>
      <x:c r="F57" s="195"/>
      <x:c r="G57" s="195"/>
      <x:c r="H57" s="195"/>
      <x:c r="I57" s="195"/>
      <x:c r="J57" s="195"/>
      <x:c r="K57" s="195"/>
      <x:c r="L57" s="195"/>
      <x:c r="M57" s="195"/>
      <x:c r="N57" s="195"/>
      <x:c r="O57" s="195"/>
      <x:c r="P57" s="195"/>
      <x:c r="Q57" s="195"/>
      <x:c r="R57" s="195"/>
      <x:c r="S57" s="195"/>
      <x:c r="T57" s="195"/>
      <x:c r="U57" s="195"/>
      <x:c r="V57" s="195"/>
      <x:c r="W57" s="195"/>
      <x:c r="X57" s="195"/>
      <x:c r="Y57" s="195"/>
      <x:c r="Z57" s="195"/>
    </x:row>
    <x:row r="58">
      <x:c r="A58" s="195"/>
      <x:c r="B58" s="195"/>
      <x:c r="C58" s="195"/>
      <x:c r="D58" s="195"/>
      <x:c r="E58" s="195"/>
      <x:c r="F58" s="195"/>
      <x:c r="G58" s="195"/>
      <x:c r="H58" s="195"/>
      <x:c r="I58" s="195"/>
      <x:c r="J58" s="195"/>
      <x:c r="K58" s="195"/>
      <x:c r="L58" s="195"/>
      <x:c r="M58" s="195"/>
      <x:c r="N58" s="195"/>
      <x:c r="O58" s="195"/>
      <x:c r="P58" s="195"/>
      <x:c r="Q58" s="195"/>
      <x:c r="R58" s="195"/>
      <x:c r="S58" s="195"/>
      <x:c r="T58" s="195"/>
      <x:c r="U58" s="195"/>
      <x:c r="V58" s="195"/>
      <x:c r="W58" s="195"/>
      <x:c r="X58" s="195"/>
      <x:c r="Y58" s="195"/>
      <x:c r="Z58" s="195"/>
    </x:row>
    <x:row r="59">
      <x:c r="A59" s="195"/>
      <x:c r="B59" s="195"/>
      <x:c r="C59" s="195"/>
      <x:c r="D59" s="195"/>
      <x:c r="E59" s="195"/>
      <x:c r="F59" s="195"/>
      <x:c r="G59" s="195"/>
      <x:c r="H59" s="195"/>
      <x:c r="I59" s="195"/>
      <x:c r="J59" s="195"/>
      <x:c r="K59" s="195"/>
      <x:c r="L59" s="195"/>
      <x:c r="M59" s="195"/>
      <x:c r="N59" s="195"/>
      <x:c r="O59" s="195"/>
      <x:c r="P59" s="195"/>
      <x:c r="Q59" s="195"/>
      <x:c r="R59" s="195"/>
      <x:c r="S59" s="195"/>
      <x:c r="T59" s="195"/>
      <x:c r="U59" s="195"/>
      <x:c r="V59" s="195"/>
      <x:c r="W59" s="195"/>
      <x:c r="X59" s="195"/>
      <x:c r="Y59" s="195"/>
      <x:c r="Z59" s="195"/>
    </x:row>
    <x:row r="60">
      <x:c r="A60" s="195"/>
      <x:c r="B60" s="195"/>
      <x:c r="C60" s="195"/>
      <x:c r="D60" s="195"/>
      <x:c r="E60" s="195"/>
      <x:c r="F60" s="195"/>
      <x:c r="G60" s="195"/>
      <x:c r="H60" s="195"/>
      <x:c r="I60" s="195"/>
      <x:c r="J60" s="195"/>
      <x:c r="K60" s="195"/>
      <x:c r="L60" s="195"/>
      <x:c r="M60" s="195"/>
      <x:c r="N60" s="195"/>
      <x:c r="O60" s="195"/>
      <x:c r="P60" s="195"/>
      <x:c r="Q60" s="195"/>
      <x:c r="R60" s="195"/>
      <x:c r="S60" s="195"/>
      <x:c r="T60" s="195"/>
      <x:c r="U60" s="195"/>
      <x:c r="V60" s="195"/>
      <x:c r="W60" s="195"/>
      <x:c r="X60" s="195"/>
      <x:c r="Y60" s="195"/>
      <x:c r="Z60" s="195"/>
    </x:row>
    <x:row r="61">
      <x:c r="A61" s="195"/>
      <x:c r="B61" s="195"/>
      <x:c r="C61" s="195"/>
      <x:c r="D61" s="195"/>
      <x:c r="E61" s="195"/>
      <x:c r="F61" s="195"/>
      <x:c r="G61" s="195"/>
      <x:c r="H61" s="195"/>
      <x:c r="I61" s="195"/>
      <x:c r="J61" s="195"/>
      <x:c r="K61" s="195"/>
      <x:c r="L61" s="195"/>
      <x:c r="M61" s="195"/>
      <x:c r="N61" s="195"/>
      <x:c r="O61" s="195"/>
      <x:c r="P61" s="195"/>
      <x:c r="Q61" s="195"/>
      <x:c r="R61" s="195"/>
      <x:c r="S61" s="195"/>
      <x:c r="T61" s="195"/>
      <x:c r="U61" s="195"/>
      <x:c r="V61" s="195"/>
      <x:c r="W61" s="195"/>
      <x:c r="X61" s="195"/>
      <x:c r="Y61" s="195"/>
      <x:c r="Z61" s="195"/>
    </x:row>
    <x:row r="62">
      <x:c r="A62" s="195"/>
      <x:c r="B62" s="195"/>
      <x:c r="C62" s="195"/>
      <x:c r="D62" s="195"/>
      <x:c r="E62" s="195"/>
      <x:c r="F62" s="195"/>
      <x:c r="G62" s="195"/>
      <x:c r="H62" s="195"/>
      <x:c r="I62" s="195"/>
      <x:c r="J62" s="195"/>
      <x:c r="K62" s="195"/>
      <x:c r="L62" s="195"/>
      <x:c r="M62" s="195"/>
      <x:c r="N62" s="195"/>
      <x:c r="O62" s="195"/>
      <x:c r="P62" s="195"/>
      <x:c r="Q62" s="195"/>
      <x:c r="R62" s="195"/>
      <x:c r="S62" s="195"/>
      <x:c r="T62" s="195"/>
      <x:c r="U62" s="195"/>
      <x:c r="V62" s="195"/>
      <x:c r="W62" s="195"/>
      <x:c r="X62" s="195"/>
      <x:c r="Y62" s="195"/>
      <x:c r="Z62" s="195"/>
    </x:row>
    <x:row r="63">
      <x:c r="A63" s="195"/>
      <x:c r="B63" s="195"/>
      <x:c r="C63" s="195"/>
      <x:c r="D63" s="195"/>
      <x:c r="E63" s="195"/>
      <x:c r="F63" s="195"/>
      <x:c r="G63" s="195"/>
      <x:c r="H63" s="195"/>
      <x:c r="I63" s="195"/>
      <x:c r="J63" s="195"/>
      <x:c r="K63" s="195"/>
      <x:c r="L63" s="195"/>
      <x:c r="M63" s="195"/>
      <x:c r="N63" s="195"/>
      <x:c r="O63" s="195"/>
      <x:c r="P63" s="195"/>
      <x:c r="Q63" s="195"/>
      <x:c r="R63" s="195"/>
      <x:c r="S63" s="195"/>
      <x:c r="T63" s="195"/>
      <x:c r="U63" s="195"/>
      <x:c r="V63" s="195"/>
      <x:c r="W63" s="195"/>
      <x:c r="X63" s="195"/>
      <x:c r="Y63" s="195"/>
      <x:c r="Z63" s="195"/>
    </x:row>
    <x:row r="64">
      <x:c r="A64" s="195"/>
      <x:c r="B64" s="195"/>
      <x:c r="C64" s="195"/>
      <x:c r="D64" s="195"/>
      <x:c r="E64" s="195"/>
      <x:c r="F64" s="195"/>
      <x:c r="G64" s="195"/>
      <x:c r="H64" s="195"/>
      <x:c r="I64" s="195"/>
      <x:c r="J64" s="195"/>
      <x:c r="K64" s="195"/>
      <x:c r="L64" s="195"/>
      <x:c r="M64" s="195"/>
      <x:c r="N64" s="195"/>
      <x:c r="O64" s="195"/>
      <x:c r="P64" s="195"/>
      <x:c r="Q64" s="195"/>
      <x:c r="R64" s="195"/>
      <x:c r="S64" s="195"/>
      <x:c r="T64" s="195"/>
      <x:c r="U64" s="195"/>
      <x:c r="V64" s="195"/>
      <x:c r="W64" s="195"/>
      <x:c r="X64" s="195"/>
      <x:c r="Y64" s="195"/>
      <x:c r="Z64" s="195"/>
    </x:row>
    <x:row r="65">
      <x:c r="A65" s="195"/>
      <x:c r="B65" s="195"/>
      <x:c r="C65" s="195"/>
      <x:c r="D65" s="195"/>
      <x:c r="E65" s="195"/>
      <x:c r="F65" s="195"/>
      <x:c r="G65" s="195"/>
      <x:c r="H65" s="195"/>
      <x:c r="I65" s="195"/>
      <x:c r="J65" s="195"/>
      <x:c r="K65" s="195"/>
      <x:c r="L65" s="195"/>
      <x:c r="M65" s="195"/>
      <x:c r="N65" s="195"/>
      <x:c r="O65" s="195"/>
      <x:c r="P65" s="195"/>
      <x:c r="Q65" s="195"/>
      <x:c r="R65" s="195"/>
      <x:c r="S65" s="195"/>
      <x:c r="T65" s="195"/>
      <x:c r="U65" s="195"/>
      <x:c r="V65" s="195"/>
      <x:c r="W65" s="195"/>
      <x:c r="X65" s="195"/>
      <x:c r="Y65" s="195"/>
      <x:c r="Z65" s="195"/>
    </x:row>
    <x:row r="66">
      <x:c r="A66" s="195"/>
      <x:c r="B66" s="195"/>
      <x:c r="C66" s="195"/>
      <x:c r="D66" s="195"/>
      <x:c r="E66" s="195"/>
      <x:c r="F66" s="195"/>
      <x:c r="G66" s="195"/>
      <x:c r="H66" s="195"/>
      <x:c r="I66" s="195"/>
      <x:c r="J66" s="195"/>
      <x:c r="K66" s="195"/>
      <x:c r="L66" s="195"/>
      <x:c r="M66" s="195"/>
      <x:c r="N66" s="195"/>
      <x:c r="O66" s="195"/>
      <x:c r="P66" s="195"/>
      <x:c r="Q66" s="195"/>
      <x:c r="R66" s="195"/>
      <x:c r="S66" s="195"/>
      <x:c r="T66" s="195"/>
      <x:c r="U66" s="195"/>
      <x:c r="V66" s="195"/>
      <x:c r="W66" s="195"/>
      <x:c r="X66" s="195"/>
      <x:c r="Y66" s="195"/>
      <x:c r="Z66" s="195"/>
    </x:row>
    <x:row r="67">
      <x:c r="A67" s="195"/>
      <x:c r="B67" s="195"/>
      <x:c r="C67" s="195"/>
      <x:c r="D67" s="195"/>
      <x:c r="E67" s="195"/>
      <x:c r="F67" s="195"/>
      <x:c r="G67" s="195"/>
      <x:c r="H67" s="195"/>
      <x:c r="I67" s="195"/>
      <x:c r="J67" s="195"/>
      <x:c r="K67" s="195"/>
      <x:c r="L67" s="195"/>
      <x:c r="M67" s="195"/>
      <x:c r="N67" s="195"/>
      <x:c r="O67" s="195"/>
      <x:c r="P67" s="195"/>
      <x:c r="Q67" s="195"/>
      <x:c r="R67" s="195"/>
      <x:c r="S67" s="195"/>
      <x:c r="T67" s="195"/>
      <x:c r="U67" s="195"/>
      <x:c r="V67" s="195"/>
      <x:c r="W67" s="195"/>
      <x:c r="X67" s="195"/>
      <x:c r="Y67" s="195"/>
      <x:c r="Z67" s="195"/>
    </x:row>
    <x:row r="68">
      <x:c r="A68" s="195"/>
      <x:c r="B68" s="195"/>
      <x:c r="C68" s="195"/>
      <x:c r="D68" s="195"/>
      <x:c r="E68" s="195"/>
      <x:c r="F68" s="195"/>
      <x:c r="G68" s="195"/>
      <x:c r="H68" s="195"/>
      <x:c r="I68" s="195"/>
      <x:c r="J68" s="195"/>
      <x:c r="K68" s="195"/>
      <x:c r="L68" s="195"/>
      <x:c r="M68" s="195"/>
      <x:c r="N68" s="195"/>
      <x:c r="O68" s="195"/>
      <x:c r="P68" s="195"/>
      <x:c r="Q68" s="195"/>
      <x:c r="R68" s="195"/>
      <x:c r="S68" s="195"/>
      <x:c r="T68" s="195"/>
      <x:c r="U68" s="195"/>
      <x:c r="V68" s="195"/>
      <x:c r="W68" s="195"/>
      <x:c r="X68" s="195"/>
      <x:c r="Y68" s="195"/>
      <x:c r="Z68" s="195"/>
    </x:row>
    <x:row r="69">
      <x:c r="A69" s="195"/>
      <x:c r="B69" s="195"/>
      <x:c r="C69" s="195"/>
      <x:c r="D69" s="195"/>
      <x:c r="E69" s="195"/>
      <x:c r="F69" s="195"/>
      <x:c r="G69" s="195"/>
      <x:c r="H69" s="195"/>
      <x:c r="I69" s="195"/>
      <x:c r="J69" s="195"/>
      <x:c r="K69" s="195"/>
      <x:c r="L69" s="195"/>
      <x:c r="M69" s="195"/>
      <x:c r="N69" s="195"/>
      <x:c r="O69" s="195"/>
      <x:c r="P69" s="195"/>
      <x:c r="Q69" s="195"/>
      <x:c r="R69" s="195"/>
      <x:c r="S69" s="195"/>
      <x:c r="T69" s="195"/>
      <x:c r="U69" s="195"/>
      <x:c r="V69" s="195"/>
      <x:c r="W69" s="195"/>
      <x:c r="X69" s="195"/>
      <x:c r="Y69" s="195"/>
      <x:c r="Z69" s="195"/>
    </x:row>
    <x:row r="70">
      <x:c r="A70" s="195"/>
      <x:c r="B70" s="195"/>
      <x:c r="C70" s="195"/>
      <x:c r="D70" s="195"/>
      <x:c r="E70" s="195"/>
      <x:c r="F70" s="195"/>
      <x:c r="G70" s="195"/>
      <x:c r="H70" s="195"/>
      <x:c r="I70" s="195"/>
      <x:c r="J70" s="195"/>
      <x:c r="K70" s="195"/>
      <x:c r="L70" s="195"/>
      <x:c r="M70" s="195"/>
      <x:c r="N70" s="195"/>
      <x:c r="O70" s="195"/>
      <x:c r="P70" s="195"/>
      <x:c r="Q70" s="195"/>
      <x:c r="R70" s="195"/>
      <x:c r="S70" s="195"/>
      <x:c r="T70" s="195"/>
      <x:c r="U70" s="195"/>
      <x:c r="V70" s="195"/>
      <x:c r="W70" s="195"/>
      <x:c r="X70" s="195"/>
      <x:c r="Y70" s="195"/>
      <x:c r="Z70" s="195"/>
    </x:row>
    <x:row r="71">
      <x:c r="A71" s="195"/>
      <x:c r="B71" s="195"/>
      <x:c r="C71" s="195"/>
      <x:c r="D71" s="195"/>
      <x:c r="E71" s="195"/>
      <x:c r="F71" s="195"/>
      <x:c r="G71" s="195"/>
      <x:c r="H71" s="195"/>
      <x:c r="I71" s="195"/>
      <x:c r="J71" s="195"/>
      <x:c r="K71" s="195"/>
      <x:c r="L71" s="195"/>
      <x:c r="M71" s="195"/>
      <x:c r="N71" s="195"/>
      <x:c r="O71" s="195"/>
      <x:c r="P71" s="195"/>
      <x:c r="Q71" s="195"/>
      <x:c r="R71" s="195"/>
      <x:c r="S71" s="195"/>
      <x:c r="T71" s="195"/>
      <x:c r="U71" s="195"/>
      <x:c r="V71" s="195"/>
      <x:c r="W71" s="195"/>
      <x:c r="X71" s="195"/>
      <x:c r="Y71" s="195"/>
      <x:c r="Z71" s="195"/>
    </x:row>
    <x:row r="72">
      <x:c r="A72" s="195"/>
      <x:c r="B72" s="195"/>
      <x:c r="C72" s="195"/>
      <x:c r="D72" s="195"/>
      <x:c r="E72" s="195"/>
      <x:c r="F72" s="195"/>
      <x:c r="G72" s="195"/>
      <x:c r="H72" s="195"/>
      <x:c r="I72" s="195"/>
      <x:c r="J72" s="195"/>
      <x:c r="K72" s="195"/>
      <x:c r="L72" s="195"/>
      <x:c r="M72" s="195"/>
      <x:c r="N72" s="195"/>
      <x:c r="O72" s="195"/>
      <x:c r="P72" s="195"/>
      <x:c r="Q72" s="195"/>
      <x:c r="R72" s="195"/>
      <x:c r="S72" s="195"/>
      <x:c r="T72" s="195"/>
      <x:c r="U72" s="195"/>
      <x:c r="V72" s="195"/>
      <x:c r="W72" s="195"/>
      <x:c r="X72" s="195"/>
      <x:c r="Y72" s="195"/>
      <x:c r="Z72" s="195"/>
    </x:row>
    <x:row r="73">
      <x:c r="A73" s="195"/>
      <x:c r="B73" s="195"/>
      <x:c r="C73" s="195"/>
      <x:c r="D73" s="195"/>
      <x:c r="E73" s="195"/>
      <x:c r="F73" s="195"/>
      <x:c r="G73" s="195"/>
      <x:c r="H73" s="195"/>
      <x:c r="I73" s="195"/>
      <x:c r="J73" s="195"/>
      <x:c r="K73" s="195"/>
      <x:c r="L73" s="195"/>
      <x:c r="M73" s="195"/>
      <x:c r="N73" s="195"/>
      <x:c r="O73" s="195"/>
      <x:c r="P73" s="195"/>
      <x:c r="Q73" s="195"/>
      <x:c r="R73" s="195"/>
      <x:c r="S73" s="195"/>
      <x:c r="T73" s="195"/>
      <x:c r="U73" s="195"/>
      <x:c r="V73" s="195"/>
      <x:c r="W73" s="195"/>
      <x:c r="X73" s="195"/>
      <x:c r="Y73" s="195"/>
      <x:c r="Z73" s="195"/>
    </x:row>
    <x:row r="74">
      <x:c r="A74" s="195"/>
      <x:c r="B74" s="195"/>
      <x:c r="C74" s="195"/>
      <x:c r="D74" s="195"/>
      <x:c r="E74" s="195"/>
      <x:c r="F74" s="195"/>
      <x:c r="G74" s="195"/>
      <x:c r="H74" s="195"/>
      <x:c r="I74" s="195"/>
      <x:c r="J74" s="195"/>
      <x:c r="K74" s="195"/>
      <x:c r="L74" s="195"/>
      <x:c r="M74" s="195"/>
      <x:c r="N74" s="195"/>
      <x:c r="O74" s="195"/>
      <x:c r="P74" s="195"/>
      <x:c r="Q74" s="195"/>
      <x:c r="R74" s="195"/>
      <x:c r="S74" s="195"/>
      <x:c r="T74" s="195"/>
      <x:c r="U74" s="195"/>
      <x:c r="V74" s="195"/>
      <x:c r="W74" s="195"/>
      <x:c r="X74" s="195"/>
      <x:c r="Y74" s="195"/>
      <x:c r="Z74" s="195"/>
    </x:row>
    <x:row r="75">
      <x:c r="A75" s="195"/>
      <x:c r="B75" s="195"/>
      <x:c r="C75" s="195"/>
      <x:c r="D75" s="195"/>
      <x:c r="E75" s="195"/>
      <x:c r="F75" s="195"/>
      <x:c r="G75" s="195"/>
      <x:c r="H75" s="195"/>
      <x:c r="I75" s="195"/>
      <x:c r="J75" s="195"/>
      <x:c r="K75" s="195"/>
      <x:c r="L75" s="195"/>
      <x:c r="M75" s="195"/>
      <x:c r="N75" s="195"/>
      <x:c r="O75" s="195"/>
      <x:c r="P75" s="195"/>
      <x:c r="Q75" s="195"/>
      <x:c r="R75" s="195"/>
      <x:c r="S75" s="195"/>
      <x:c r="T75" s="195"/>
      <x:c r="U75" s="195"/>
      <x:c r="V75" s="195"/>
      <x:c r="W75" s="195"/>
      <x:c r="X75" s="195"/>
      <x:c r="Y75" s="195"/>
      <x:c r="Z75" s="195"/>
    </x:row>
    <x:row r="76">
      <x:c r="A76" s="195"/>
      <x:c r="B76" s="195"/>
      <x:c r="C76" s="195"/>
      <x:c r="D76" s="195"/>
      <x:c r="E76" s="195"/>
      <x:c r="F76" s="195"/>
      <x:c r="G76" s="195"/>
      <x:c r="H76" s="195"/>
      <x:c r="I76" s="195"/>
      <x:c r="J76" s="195"/>
      <x:c r="K76" s="195"/>
      <x:c r="L76" s="195"/>
      <x:c r="M76" s="195"/>
      <x:c r="N76" s="195"/>
      <x:c r="O76" s="195"/>
      <x:c r="P76" s="195"/>
      <x:c r="Q76" s="195"/>
      <x:c r="R76" s="195"/>
      <x:c r="S76" s="195"/>
      <x:c r="T76" s="195"/>
      <x:c r="U76" s="195"/>
      <x:c r="V76" s="195"/>
      <x:c r="W76" s="195"/>
      <x:c r="X76" s="195"/>
      <x:c r="Y76" s="195"/>
      <x:c r="Z76" s="195"/>
    </x:row>
    <x:row r="77">
      <x:c r="A77" s="195"/>
      <x:c r="B77" s="195"/>
      <x:c r="C77" s="195"/>
      <x:c r="D77" s="195"/>
      <x:c r="E77" s="195"/>
      <x:c r="F77" s="195"/>
      <x:c r="G77" s="195"/>
      <x:c r="H77" s="195"/>
      <x:c r="I77" s="195"/>
      <x:c r="J77" s="195"/>
      <x:c r="K77" s="195"/>
      <x:c r="L77" s="195"/>
      <x:c r="M77" s="195"/>
      <x:c r="N77" s="195"/>
      <x:c r="O77" s="195"/>
      <x:c r="P77" s="195"/>
      <x:c r="Q77" s="195"/>
      <x:c r="R77" s="195"/>
      <x:c r="S77" s="195"/>
      <x:c r="T77" s="195"/>
      <x:c r="U77" s="195"/>
      <x:c r="V77" s="195"/>
      <x:c r="W77" s="195"/>
      <x:c r="X77" s="195"/>
      <x:c r="Y77" s="195"/>
      <x:c r="Z77" s="195"/>
    </x:row>
    <x:row r="78">
      <x:c r="A78" s="195"/>
      <x:c r="B78" s="195"/>
      <x:c r="C78" s="195"/>
      <x:c r="D78" s="195"/>
      <x:c r="E78" s="195"/>
      <x:c r="F78" s="195"/>
      <x:c r="G78" s="195"/>
      <x:c r="H78" s="195"/>
      <x:c r="I78" s="195"/>
      <x:c r="J78" s="195"/>
      <x:c r="K78" s="195"/>
      <x:c r="L78" s="195"/>
      <x:c r="M78" s="195"/>
      <x:c r="N78" s="195"/>
      <x:c r="O78" s="195"/>
      <x:c r="P78" s="195"/>
      <x:c r="Q78" s="195"/>
      <x:c r="R78" s="195"/>
      <x:c r="S78" s="195"/>
      <x:c r="T78" s="195"/>
      <x:c r="U78" s="195"/>
      <x:c r="V78" s="195"/>
      <x:c r="W78" s="195"/>
      <x:c r="X78" s="195"/>
      <x:c r="Y78" s="195"/>
      <x:c r="Z78" s="195"/>
    </x:row>
    <x:row r="79">
      <x:c r="A79" s="195"/>
      <x:c r="B79" s="195"/>
      <x:c r="C79" s="195"/>
      <x:c r="D79" s="195"/>
      <x:c r="E79" s="195"/>
      <x:c r="F79" s="195"/>
      <x:c r="G79" s="195"/>
      <x:c r="H79" s="195"/>
      <x:c r="I79" s="195"/>
      <x:c r="J79" s="195"/>
      <x:c r="K79" s="195"/>
      <x:c r="L79" s="195"/>
      <x:c r="M79" s="195"/>
      <x:c r="N79" s="195"/>
      <x:c r="O79" s="195"/>
      <x:c r="P79" s="195"/>
      <x:c r="Q79" s="195"/>
      <x:c r="R79" s="195"/>
      <x:c r="S79" s="195"/>
      <x:c r="T79" s="195"/>
      <x:c r="U79" s="195"/>
      <x:c r="V79" s="195"/>
      <x:c r="W79" s="195"/>
      <x:c r="X79" s="195"/>
      <x:c r="Y79" s="195"/>
      <x:c r="Z79" s="195"/>
    </x:row>
    <x:row r="80">
      <x:c r="A80" s="195"/>
      <x:c r="B80" s="195"/>
      <x:c r="C80" s="195"/>
      <x:c r="D80" s="195"/>
      <x:c r="E80" s="195"/>
      <x:c r="F80" s="195"/>
      <x:c r="G80" s="195"/>
      <x:c r="H80" s="195"/>
      <x:c r="I80" s="195"/>
      <x:c r="J80" s="195"/>
      <x:c r="K80" s="195"/>
      <x:c r="L80" s="195"/>
      <x:c r="M80" s="195"/>
      <x:c r="N80" s="195"/>
      <x:c r="O80" s="195"/>
      <x:c r="P80" s="195"/>
      <x:c r="Q80" s="195"/>
      <x:c r="R80" s="195"/>
      <x:c r="S80" s="195"/>
      <x:c r="T80" s="195"/>
      <x:c r="U80" s="195"/>
      <x:c r="V80" s="195"/>
      <x:c r="W80" s="195"/>
      <x:c r="X80" s="195"/>
      <x:c r="Y80" s="195"/>
      <x:c r="Z80" s="195"/>
    </x:row>
    <x:row r="81">
      <x:c r="A81" s="195"/>
      <x:c r="B81" s="195"/>
      <x:c r="C81" s="195"/>
      <x:c r="D81" s="195"/>
      <x:c r="E81" s="195"/>
      <x:c r="F81" s="195"/>
      <x:c r="G81" s="195"/>
      <x:c r="H81" s="195"/>
      <x:c r="I81" s="195"/>
      <x:c r="J81" s="195"/>
      <x:c r="K81" s="195"/>
      <x:c r="L81" s="195"/>
      <x:c r="M81" s="195"/>
      <x:c r="N81" s="195"/>
      <x:c r="O81" s="195"/>
      <x:c r="P81" s="195"/>
      <x:c r="Q81" s="195"/>
      <x:c r="R81" s="195"/>
      <x:c r="S81" s="195"/>
      <x:c r="T81" s="195"/>
      <x:c r="U81" s="195"/>
      <x:c r="V81" s="195"/>
      <x:c r="W81" s="195"/>
      <x:c r="X81" s="195"/>
      <x:c r="Y81" s="195"/>
      <x:c r="Z81" s="195"/>
    </x:row>
    <x:row r="82">
      <x:c r="A82" s="195"/>
      <x:c r="B82" s="195"/>
      <x:c r="C82" s="195"/>
      <x:c r="D82" s="195"/>
      <x:c r="E82" s="195"/>
      <x:c r="F82" s="195"/>
      <x:c r="G82" s="195"/>
      <x:c r="H82" s="195"/>
      <x:c r="I82" s="195"/>
      <x:c r="J82" s="195"/>
      <x:c r="K82" s="195"/>
      <x:c r="L82" s="195"/>
      <x:c r="M82" s="195"/>
      <x:c r="N82" s="195"/>
      <x:c r="O82" s="195"/>
      <x:c r="P82" s="195"/>
      <x:c r="Q82" s="195"/>
      <x:c r="R82" s="195"/>
      <x:c r="S82" s="195"/>
      <x:c r="T82" s="195"/>
      <x:c r="U82" s="195"/>
      <x:c r="V82" s="195"/>
      <x:c r="W82" s="195"/>
      <x:c r="X82" s="195"/>
      <x:c r="Y82" s="195"/>
      <x:c r="Z82" s="195"/>
    </x:row>
    <x:row r="83">
      <x:c r="A83" s="195"/>
      <x:c r="B83" s="195"/>
      <x:c r="C83" s="195"/>
      <x:c r="D83" s="195"/>
      <x:c r="E83" s="195"/>
      <x:c r="F83" s="195"/>
      <x:c r="G83" s="195"/>
      <x:c r="H83" s="195"/>
      <x:c r="I83" s="195"/>
      <x:c r="J83" s="195"/>
      <x:c r="K83" s="195"/>
      <x:c r="L83" s="195"/>
      <x:c r="M83" s="195"/>
      <x:c r="N83" s="195"/>
      <x:c r="O83" s="195"/>
      <x:c r="P83" s="195"/>
      <x:c r="Q83" s="195"/>
      <x:c r="R83" s="195"/>
      <x:c r="S83" s="195"/>
      <x:c r="T83" s="195"/>
      <x:c r="U83" s="195"/>
      <x:c r="V83" s="195"/>
      <x:c r="W83" s="195"/>
      <x:c r="X83" s="195"/>
      <x:c r="Y83" s="195"/>
      <x:c r="Z83" s="195"/>
    </x:row>
    <x:row r="84">
      <x:c r="A84" s="195"/>
      <x:c r="B84" s="195"/>
      <x:c r="C84" s="195"/>
      <x:c r="D84" s="195"/>
      <x:c r="E84" s="195"/>
      <x:c r="F84" s="195"/>
      <x:c r="G84" s="195"/>
      <x:c r="H84" s="195"/>
      <x:c r="I84" s="195"/>
      <x:c r="J84" s="195"/>
      <x:c r="K84" s="195"/>
      <x:c r="L84" s="195"/>
      <x:c r="M84" s="195"/>
      <x:c r="N84" s="195"/>
      <x:c r="O84" s="195"/>
      <x:c r="P84" s="195"/>
      <x:c r="Q84" s="195"/>
      <x:c r="R84" s="195"/>
      <x:c r="S84" s="195"/>
      <x:c r="T84" s="195"/>
      <x:c r="U84" s="195"/>
      <x:c r="V84" s="195"/>
      <x:c r="W84" s="195"/>
      <x:c r="X84" s="195"/>
      <x:c r="Y84" s="195"/>
      <x:c r="Z84" s="195"/>
    </x:row>
    <x:row r="85">
      <x:c r="A85" s="195"/>
      <x:c r="B85" s="195"/>
      <x:c r="C85" s="195"/>
      <x:c r="D85" s="195"/>
      <x:c r="E85" s="195"/>
      <x:c r="F85" s="195"/>
      <x:c r="G85" s="195"/>
      <x:c r="H85" s="195"/>
      <x:c r="I85" s="195"/>
      <x:c r="J85" s="195"/>
      <x:c r="K85" s="195"/>
      <x:c r="L85" s="195"/>
      <x:c r="M85" s="195"/>
      <x:c r="N85" s="195"/>
      <x:c r="O85" s="195"/>
      <x:c r="P85" s="195"/>
      <x:c r="Q85" s="195"/>
      <x:c r="R85" s="195"/>
      <x:c r="S85" s="195"/>
      <x:c r="T85" s="195"/>
      <x:c r="U85" s="195"/>
      <x:c r="V85" s="195"/>
      <x:c r="W85" s="195"/>
      <x:c r="X85" s="195"/>
      <x:c r="Y85" s="195"/>
      <x:c r="Z85" s="195"/>
    </x:row>
    <x:row r="86">
      <x:c r="A86" s="195"/>
      <x:c r="B86" s="195"/>
      <x:c r="C86" s="195"/>
      <x:c r="D86" s="195"/>
      <x:c r="E86" s="195"/>
      <x:c r="F86" s="195"/>
      <x:c r="G86" s="195"/>
      <x:c r="H86" s="195"/>
      <x:c r="I86" s="195"/>
      <x:c r="J86" s="195"/>
      <x:c r="K86" s="195"/>
      <x:c r="L86" s="195"/>
      <x:c r="M86" s="195"/>
      <x:c r="N86" s="195"/>
      <x:c r="O86" s="195"/>
      <x:c r="P86" s="195"/>
      <x:c r="Q86" s="195"/>
      <x:c r="R86" s="195"/>
      <x:c r="S86" s="195"/>
      <x:c r="T86" s="195"/>
      <x:c r="U86" s="195"/>
      <x:c r="V86" s="195"/>
      <x:c r="W86" s="195"/>
      <x:c r="X86" s="195"/>
      <x:c r="Y86" s="195"/>
      <x:c r="Z86" s="195"/>
    </x:row>
    <x:row r="87">
      <x:c r="A87" s="195"/>
      <x:c r="B87" s="195"/>
      <x:c r="C87" s="195"/>
      <x:c r="D87" s="195"/>
      <x:c r="E87" s="195"/>
      <x:c r="F87" s="195"/>
      <x:c r="G87" s="195"/>
      <x:c r="H87" s="195"/>
      <x:c r="I87" s="195"/>
      <x:c r="J87" s="195"/>
      <x:c r="K87" s="195"/>
      <x:c r="L87" s="195"/>
      <x:c r="M87" s="195"/>
      <x:c r="N87" s="195"/>
      <x:c r="O87" s="195"/>
      <x:c r="P87" s="195"/>
      <x:c r="Q87" s="195"/>
      <x:c r="R87" s="195"/>
      <x:c r="S87" s="195"/>
      <x:c r="T87" s="195"/>
      <x:c r="U87" s="195"/>
      <x:c r="V87" s="195"/>
      <x:c r="W87" s="195"/>
      <x:c r="X87" s="195"/>
      <x:c r="Y87" s="195"/>
      <x:c r="Z87" s="195"/>
    </x:row>
    <x:row r="88">
      <x:c r="A88" s="195"/>
      <x:c r="B88" s="195"/>
      <x:c r="C88" s="195"/>
      <x:c r="D88" s="195"/>
      <x:c r="E88" s="195"/>
      <x:c r="F88" s="195"/>
      <x:c r="G88" s="195"/>
      <x:c r="H88" s="195"/>
      <x:c r="I88" s="195"/>
      <x:c r="J88" s="195"/>
      <x:c r="K88" s="195"/>
      <x:c r="L88" s="195"/>
      <x:c r="M88" s="195"/>
      <x:c r="N88" s="195"/>
      <x:c r="O88" s="195"/>
      <x:c r="P88" s="195"/>
      <x:c r="Q88" s="195"/>
      <x:c r="R88" s="195"/>
      <x:c r="S88" s="195"/>
      <x:c r="T88" s="195"/>
      <x:c r="U88" s="195"/>
      <x:c r="V88" s="195"/>
      <x:c r="W88" s="195"/>
      <x:c r="X88" s="195"/>
      <x:c r="Y88" s="195"/>
      <x:c r="Z88" s="195"/>
    </x:row>
    <x:row r="89">
      <x:c r="A89" s="195"/>
      <x:c r="B89" s="195"/>
      <x:c r="C89" s="195"/>
      <x:c r="D89" s="195"/>
      <x:c r="E89" s="195"/>
      <x:c r="F89" s="195"/>
      <x:c r="G89" s="195"/>
      <x:c r="H89" s="195"/>
      <x:c r="I89" s="195"/>
      <x:c r="J89" s="195"/>
      <x:c r="K89" s="195"/>
      <x:c r="L89" s="195"/>
      <x:c r="M89" s="195"/>
      <x:c r="N89" s="195"/>
      <x:c r="O89" s="195"/>
      <x:c r="P89" s="195"/>
      <x:c r="Q89" s="195"/>
      <x:c r="R89" s="195"/>
      <x:c r="S89" s="195"/>
      <x:c r="T89" s="195"/>
      <x:c r="U89" s="195"/>
      <x:c r="V89" s="195"/>
      <x:c r="W89" s="195"/>
      <x:c r="X89" s="195"/>
      <x:c r="Y89" s="195"/>
      <x:c r="Z89" s="195"/>
    </x:row>
    <x:row r="90">
      <x:c r="A90" s="195"/>
      <x:c r="B90" s="195"/>
      <x:c r="C90" s="195"/>
      <x:c r="D90" s="195"/>
      <x:c r="E90" s="195"/>
      <x:c r="F90" s="195"/>
      <x:c r="G90" s="195"/>
      <x:c r="H90" s="195"/>
      <x:c r="I90" s="195"/>
      <x:c r="J90" s="195"/>
      <x:c r="K90" s="195"/>
      <x:c r="L90" s="195"/>
      <x:c r="M90" s="195"/>
      <x:c r="N90" s="195"/>
      <x:c r="O90" s="195"/>
      <x:c r="P90" s="195"/>
      <x:c r="Q90" s="195"/>
      <x:c r="R90" s="195"/>
      <x:c r="S90" s="195"/>
      <x:c r="T90" s="195"/>
      <x:c r="U90" s="195"/>
      <x:c r="V90" s="195"/>
      <x:c r="W90" s="195"/>
      <x:c r="X90" s="195"/>
      <x:c r="Y90" s="195"/>
      <x:c r="Z90" s="195"/>
    </x:row>
    <x:row r="91">
      <x:c r="A91" s="195"/>
      <x:c r="B91" s="195"/>
      <x:c r="C91" s="195"/>
      <x:c r="D91" s="195"/>
      <x:c r="E91" s="195"/>
      <x:c r="F91" s="195"/>
      <x:c r="G91" s="195"/>
      <x:c r="H91" s="195"/>
      <x:c r="I91" s="195"/>
      <x:c r="J91" s="195"/>
      <x:c r="K91" s="195"/>
      <x:c r="L91" s="195"/>
      <x:c r="M91" s="195"/>
      <x:c r="N91" s="195"/>
      <x:c r="O91" s="195"/>
      <x:c r="P91" s="195"/>
      <x:c r="Q91" s="195"/>
      <x:c r="R91" s="195"/>
      <x:c r="S91" s="195"/>
      <x:c r="T91" s="195"/>
      <x:c r="U91" s="195"/>
      <x:c r="V91" s="195"/>
      <x:c r="W91" s="195"/>
      <x:c r="X91" s="195"/>
      <x:c r="Y91" s="195"/>
      <x:c r="Z91" s="195"/>
    </x:row>
    <x:row r="92">
      <x:c r="A92" s="195"/>
      <x:c r="B92" s="195"/>
      <x:c r="C92" s="195"/>
      <x:c r="D92" s="195"/>
      <x:c r="E92" s="195"/>
      <x:c r="F92" s="195"/>
      <x:c r="G92" s="195"/>
      <x:c r="H92" s="195"/>
      <x:c r="I92" s="195"/>
      <x:c r="J92" s="195"/>
      <x:c r="K92" s="195"/>
      <x:c r="L92" s="195"/>
      <x:c r="M92" s="195"/>
      <x:c r="N92" s="195"/>
      <x:c r="O92" s="195"/>
      <x:c r="P92" s="195"/>
      <x:c r="Q92" s="195"/>
      <x:c r="R92" s="195"/>
      <x:c r="S92" s="195"/>
      <x:c r="T92" s="195"/>
      <x:c r="U92" s="195"/>
      <x:c r="V92" s="195"/>
      <x:c r="W92" s="195"/>
      <x:c r="X92" s="195"/>
      <x:c r="Y92" s="195"/>
      <x:c r="Z92" s="195"/>
    </x:row>
    <x:row r="93">
      <x:c r="A93" s="195"/>
      <x:c r="B93" s="195"/>
      <x:c r="C93" s="195"/>
      <x:c r="D93" s="195"/>
      <x:c r="E93" s="195"/>
      <x:c r="F93" s="195"/>
      <x:c r="G93" s="195"/>
      <x:c r="H93" s="195"/>
      <x:c r="I93" s="195"/>
      <x:c r="J93" s="195"/>
      <x:c r="K93" s="195"/>
      <x:c r="L93" s="195"/>
      <x:c r="M93" s="195"/>
      <x:c r="N93" s="195"/>
      <x:c r="O93" s="195"/>
      <x:c r="P93" s="195"/>
      <x:c r="Q93" s="195"/>
      <x:c r="R93" s="195"/>
      <x:c r="S93" s="195"/>
      <x:c r="T93" s="195"/>
      <x:c r="U93" s="195"/>
      <x:c r="V93" s="195"/>
      <x:c r="W93" s="195"/>
      <x:c r="X93" s="195"/>
      <x:c r="Y93" s="195"/>
      <x:c r="Z93" s="195"/>
    </x:row>
    <x:row r="94">
      <x:c r="A94" s="195"/>
      <x:c r="B94" s="195"/>
      <x:c r="C94" s="195"/>
      <x:c r="D94" s="195"/>
      <x:c r="E94" s="195"/>
      <x:c r="F94" s="195"/>
      <x:c r="G94" s="195"/>
      <x:c r="H94" s="195"/>
      <x:c r="I94" s="195"/>
      <x:c r="J94" s="195"/>
      <x:c r="K94" s="195"/>
      <x:c r="L94" s="195"/>
      <x:c r="M94" s="195"/>
      <x:c r="N94" s="195"/>
      <x:c r="O94" s="195"/>
      <x:c r="P94" s="195"/>
      <x:c r="Q94" s="195"/>
      <x:c r="R94" s="195"/>
      <x:c r="S94" s="195"/>
      <x:c r="T94" s="195"/>
      <x:c r="U94" s="195"/>
      <x:c r="V94" s="195"/>
      <x:c r="W94" s="195"/>
      <x:c r="X94" s="195"/>
      <x:c r="Y94" s="195"/>
      <x:c r="Z94" s="195"/>
    </x:row>
    <x:row r="95">
      <x:c r="A95" s="195"/>
      <x:c r="B95" s="195"/>
      <x:c r="C95" s="195"/>
      <x:c r="D95" s="195"/>
      <x:c r="E95" s="195"/>
      <x:c r="F95" s="195"/>
      <x:c r="G95" s="195"/>
      <x:c r="H95" s="195"/>
      <x:c r="I95" s="195"/>
      <x:c r="J95" s="195"/>
      <x:c r="K95" s="195"/>
      <x:c r="L95" s="195"/>
      <x:c r="M95" s="195"/>
      <x:c r="N95" s="195"/>
      <x:c r="O95" s="195"/>
      <x:c r="P95" s="195"/>
      <x:c r="Q95" s="195"/>
      <x:c r="R95" s="195"/>
      <x:c r="S95" s="195"/>
      <x:c r="T95" s="195"/>
      <x:c r="U95" s="195"/>
      <x:c r="V95" s="195"/>
      <x:c r="W95" s="195"/>
      <x:c r="X95" s="195"/>
      <x:c r="Y95" s="195"/>
      <x:c r="Z95" s="195"/>
    </x:row>
    <x:row r="96">
      <x:c r="A96" s="195"/>
      <x:c r="B96" s="195"/>
      <x:c r="C96" s="195"/>
      <x:c r="D96" s="195"/>
      <x:c r="E96" s="195"/>
      <x:c r="F96" s="195"/>
      <x:c r="G96" s="195"/>
      <x:c r="H96" s="195"/>
      <x:c r="I96" s="195"/>
      <x:c r="J96" s="195"/>
      <x:c r="K96" s="195"/>
      <x:c r="L96" s="195"/>
      <x:c r="M96" s="195"/>
      <x:c r="N96" s="195"/>
      <x:c r="O96" s="195"/>
      <x:c r="P96" s="195"/>
      <x:c r="Q96" s="195"/>
      <x:c r="R96" s="195"/>
      <x:c r="S96" s="195"/>
      <x:c r="T96" s="195"/>
      <x:c r="U96" s="195"/>
      <x:c r="V96" s="195"/>
      <x:c r="W96" s="195"/>
      <x:c r="X96" s="195"/>
      <x:c r="Y96" s="195"/>
      <x:c r="Z96" s="195"/>
    </x:row>
    <x:row r="97">
      <x:c r="A97" s="195"/>
      <x:c r="B97" s="195"/>
      <x:c r="C97" s="195"/>
      <x:c r="D97" s="195"/>
      <x:c r="E97" s="195"/>
      <x:c r="F97" s="195"/>
      <x:c r="G97" s="195"/>
      <x:c r="H97" s="195"/>
      <x:c r="I97" s="195"/>
      <x:c r="J97" s="195"/>
      <x:c r="K97" s="195"/>
      <x:c r="L97" s="195"/>
      <x:c r="M97" s="195"/>
      <x:c r="N97" s="195"/>
      <x:c r="O97" s="195"/>
      <x:c r="P97" s="195"/>
      <x:c r="Q97" s="195"/>
      <x:c r="R97" s="195"/>
      <x:c r="S97" s="195"/>
      <x:c r="T97" s="195"/>
      <x:c r="U97" s="195"/>
      <x:c r="V97" s="195"/>
      <x:c r="W97" s="195"/>
      <x:c r="X97" s="195"/>
      <x:c r="Y97" s="195"/>
      <x:c r="Z97" s="195"/>
    </x:row>
    <x:row r="98">
      <x:c r="A98" s="195"/>
      <x:c r="B98" s="195"/>
      <x:c r="C98" s="195"/>
      <x:c r="D98" s="195"/>
      <x:c r="E98" s="195"/>
      <x:c r="F98" s="195"/>
      <x:c r="G98" s="195"/>
      <x:c r="H98" s="195"/>
      <x:c r="I98" s="195"/>
      <x:c r="J98" s="195"/>
      <x:c r="K98" s="195"/>
      <x:c r="L98" s="195"/>
      <x:c r="M98" s="195"/>
      <x:c r="N98" s="195"/>
      <x:c r="O98" s="195"/>
      <x:c r="P98" s="195"/>
      <x:c r="Q98" s="195"/>
      <x:c r="R98" s="195"/>
      <x:c r="S98" s="195"/>
      <x:c r="T98" s="195"/>
      <x:c r="U98" s="195"/>
      <x:c r="V98" s="195"/>
      <x:c r="W98" s="195"/>
      <x:c r="X98" s="195"/>
      <x:c r="Y98" s="195"/>
      <x:c r="Z98" s="195"/>
    </x:row>
    <x:row r="99">
      <x:c r="A99" s="195"/>
      <x:c r="B99" s="195"/>
      <x:c r="C99" s="195"/>
      <x:c r="D99" s="195"/>
      <x:c r="E99" s="195"/>
      <x:c r="F99" s="195"/>
      <x:c r="G99" s="195"/>
      <x:c r="H99" s="195"/>
      <x:c r="I99" s="195"/>
      <x:c r="J99" s="195"/>
      <x:c r="K99" s="195"/>
      <x:c r="L99" s="195"/>
      <x:c r="M99" s="195"/>
      <x:c r="N99" s="195"/>
      <x:c r="O99" s="195"/>
      <x:c r="P99" s="195"/>
      <x:c r="Q99" s="195"/>
      <x:c r="R99" s="195"/>
      <x:c r="S99" s="195"/>
      <x:c r="T99" s="195"/>
      <x:c r="U99" s="195"/>
      <x:c r="V99" s="195"/>
      <x:c r="W99" s="195"/>
      <x:c r="X99" s="195"/>
      <x:c r="Y99" s="195"/>
      <x:c r="Z99" s="195"/>
    </x:row>
    <x:row r="100">
      <x:c r="A100" s="195"/>
      <x:c r="B100" s="195"/>
      <x:c r="C100" s="195"/>
      <x:c r="D100" s="195"/>
      <x:c r="E100" s="195"/>
      <x:c r="F100" s="195"/>
      <x:c r="G100" s="195"/>
      <x:c r="H100" s="195"/>
      <x:c r="I100" s="195"/>
      <x:c r="J100" s="195"/>
      <x:c r="K100" s="195"/>
      <x:c r="L100" s="195"/>
      <x:c r="M100" s="195"/>
      <x:c r="N100" s="195"/>
      <x:c r="O100" s="195"/>
      <x:c r="P100" s="195"/>
      <x:c r="Q100" s="195"/>
      <x:c r="R100" s="195"/>
      <x:c r="S100" s="195"/>
      <x:c r="T100" s="195"/>
      <x:c r="U100" s="195"/>
      <x:c r="V100" s="195"/>
      <x:c r="W100" s="195"/>
      <x:c r="X100" s="195"/>
      <x:c r="Y100" s="195"/>
      <x:c r="Z100" s="195"/>
    </x:row>
  </x:sheetData>
  <x:mergeCells>
    <x:mergeCell ref="A2:S2"/>
  </x:mergeCells>
  <x:conditionalFormatting sqref="N6:N25">
    <x:cfRule type="cellIs" dxfId="1" priority="1" operator="lessThan">
      <x:formula>0</x:formula>
    </x:cfRule>
  </x:conditionalFormatting>
  <x:conditionalFormatting sqref="Q6:Q25">
    <x:cfRule type="cellIs" dxfId="2" priority="2" operator="lessThan">
      <x:formula>1</x:formula>
    </x:cfRule>
  </x:conditionalFormatting>
  <x:dataValidations count="2">
    <x:dataValidation type="whole" operator="between" sqref="D6:E25">
      <x:formula1>0</x:formula1>
      <x:formula2>10</x:formula2>
    </x:dataValidation>
    <x:dataValidation type="whole" operator="between" sqref="J6:J25">
      <x:formula1>0</x:formula1>
      <x:formula2>1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7D5BA6"/>
  </x:sheetPr>
  <x:sheetViews>
    <x:sheetView showGridLines="0" workbookViewId="0"/>
  </x:sheetViews>
  <x:sheetFormatPr defaultRowHeight="15"/>
  <x:cols>
    <x:col min="1" max="1" width="42" hidden="0" customWidth="1"/>
    <x:col min="2" max="2" width="22" hidden="0" customWidth="1"/>
    <x:col min="3" max="3" width="42" hidden="0" customWidth="1"/>
    <x:col min="4" max="4" width="8" hidden="0" customWidth="1"/>
    <x:col min="5" max="5" width="8" hidden="0" customWidth="1"/>
    <x:col min="6" max="6" width="8" hidden="0" customWidth="1"/>
  </x:cols>
  <x:sheetData>
    <x:row r="1">
      <x:c r="A1" s="195"/>
      <x:c r="B1" s="195"/>
      <x:c r="C1" s="195"/>
      <x:c r="D1" s="195"/>
      <x:c r="E1" s="195"/>
      <x:c r="F1" s="195"/>
      <x:c r="G1" s="195"/>
      <x:c r="H1" s="195"/>
      <x:c r="I1" s="195"/>
      <x:c r="J1" s="195"/>
      <x:c r="K1" s="195"/>
      <x:c r="L1" s="195"/>
      <x:c r="M1" s="195"/>
      <x:c r="N1" s="195"/>
      <x:c r="O1" s="195"/>
      <x:c r="P1" s="195"/>
      <x:c r="Q1" s="195"/>
      <x:c r="R1" s="195"/>
      <x:c r="S1" s="195"/>
      <x:c r="T1" s="195"/>
      <x:c r="U1" s="195"/>
      <x:c r="V1" s="195"/>
      <x:c r="W1" s="195"/>
      <x:c r="X1" s="195"/>
      <x:c r="Y1" s="195"/>
      <x:c r="Z1" s="195"/>
    </x:row>
    <x:row r="2" ht="30" customHeight="1">
      <x:c r="A2" s="116" t="str">
        <x:v>Financiering basisinkomen</x:v>
      </x:c>
      <x:c r="B2" s="116" t="str">
        <x:v>Financiering basisinkomen</x:v>
      </x:c>
      <x:c r="C2" s="116" t="str">
        <x:v>Financiering basisinkomen</x:v>
      </x:c>
      <x:c r="D2" s="116" t="str">
        <x:v>Financiering basisinkomen</x:v>
      </x:c>
      <x:c r="E2" s="116" t="str">
        <x:v>Financiering basisinkomen</x:v>
      </x:c>
      <x:c r="F2" s="116" t="str">
        <x:v>Financiering basisinkomen</x:v>
      </x:c>
      <x:c r="G2" s="195"/>
      <x:c r="H2" s="195"/>
      <x:c r="I2" s="195"/>
      <x:c r="J2" s="195"/>
      <x:c r="K2" s="195"/>
      <x:c r="L2" s="195"/>
      <x:c r="M2" s="195"/>
      <x:c r="N2" s="195"/>
      <x:c r="O2" s="195"/>
      <x:c r="P2" s="195"/>
      <x:c r="Q2" s="195"/>
      <x:c r="R2" s="195"/>
      <x:c r="S2" s="195"/>
      <x:c r="T2" s="195"/>
      <x:c r="U2" s="195"/>
      <x:c r="V2" s="195"/>
      <x:c r="W2" s="195"/>
      <x:c r="X2" s="195"/>
      <x:c r="Y2" s="195"/>
      <x:c r="Z2" s="195"/>
    </x:row>
    <x:row r="3">
      <x:c r="A3" s="196"/>
      <x:c r="B3" s="196"/>
      <x:c r="C3" s="196"/>
      <x:c r="D3" s="196"/>
      <x:c r="E3" s="196"/>
      <x:c r="F3" s="196"/>
      <x:c r="G3" s="195"/>
      <x:c r="H3" s="195"/>
      <x:c r="I3" s="195"/>
      <x:c r="J3" s="195"/>
      <x:c r="K3" s="195"/>
      <x:c r="L3" s="195"/>
      <x:c r="M3" s="195"/>
      <x:c r="N3" s="195"/>
      <x:c r="O3" s="195"/>
      <x:c r="P3" s="195"/>
      <x:c r="Q3" s="195"/>
      <x:c r="R3" s="195"/>
      <x:c r="S3" s="195"/>
      <x:c r="T3" s="195"/>
      <x:c r="U3" s="195"/>
      <x:c r="V3" s="195"/>
      <x:c r="W3" s="195"/>
      <x:c r="X3" s="195"/>
      <x:c r="Y3" s="195"/>
      <x:c r="Z3" s="195"/>
    </x:row>
    <x:row r="4">
      <x:c r="A4" s="211" t="str">
        <x:v>De netto publieke kosten zijn een transparante boekhoudkundige uitkomst, geen voorspelling van gedragseffecten.</x:v>
      </x:c>
      <x:c r="B4" s="211" t="str"/>
      <x:c r="C4" s="211" t="str"/>
      <x:c r="D4" s="211" t="str"/>
      <x:c r="E4" s="211" t="str"/>
      <x:c r="F4" s="211" t="str"/>
      <x:c r="G4" s="195"/>
      <x:c r="H4" s="195"/>
      <x:c r="I4" s="195"/>
      <x:c r="J4" s="195"/>
      <x:c r="K4" s="195"/>
      <x:c r="L4" s="195"/>
      <x:c r="M4" s="195"/>
      <x:c r="N4" s="195"/>
      <x:c r="O4" s="195"/>
      <x:c r="P4" s="195"/>
      <x:c r="Q4" s="195"/>
      <x:c r="R4" s="195"/>
      <x:c r="S4" s="195"/>
      <x:c r="T4" s="195"/>
      <x:c r="U4" s="195"/>
      <x:c r="V4" s="195"/>
      <x:c r="W4" s="195"/>
      <x:c r="X4" s="195"/>
      <x:c r="Y4" s="195"/>
      <x:c r="Z4" s="195"/>
    </x:row>
    <x:row r="5">
      <x:c r="A5" s="196"/>
      <x:c r="B5" s="196"/>
      <x:c r="C5" s="196"/>
      <x:c r="D5" s="196"/>
      <x:c r="E5" s="196"/>
      <x:c r="F5" s="196"/>
      <x:c r="G5" s="195"/>
      <x:c r="H5" s="195"/>
      <x:c r="I5" s="195"/>
      <x:c r="J5" s="195"/>
      <x:c r="K5" s="195"/>
      <x:c r="L5" s="195"/>
      <x:c r="M5" s="195"/>
      <x:c r="N5" s="195"/>
      <x:c r="O5" s="195"/>
      <x:c r="P5" s="195"/>
      <x:c r="Q5" s="195"/>
      <x:c r="R5" s="195"/>
      <x:c r="S5" s="195"/>
      <x:c r="T5" s="195"/>
      <x:c r="U5" s="195"/>
      <x:c r="V5" s="195"/>
      <x:c r="W5" s="195"/>
      <x:c r="X5" s="195"/>
      <x:c r="Y5" s="195"/>
      <x:c r="Z5" s="195"/>
    </x:row>
    <x:row r="6" ht="23" customHeight="1">
      <x:c r="A6" s="118" t="str">
        <x:v>Invoer populatie en terugvloeiing</x:v>
      </x:c>
      <x:c r="B6" s="118"/>
      <x:c r="C6" s="118"/>
      <x:c r="D6" s="196"/>
      <x:c r="E6" s="196"/>
      <x:c r="F6" s="196"/>
      <x:c r="G6" s="195"/>
      <x:c r="H6" s="195"/>
      <x:c r="I6" s="195"/>
      <x:c r="J6" s="195"/>
      <x:c r="K6" s="195"/>
      <x:c r="L6" s="195"/>
      <x:c r="M6" s="195"/>
      <x:c r="N6" s="195"/>
      <x:c r="O6" s="195"/>
      <x:c r="P6" s="195"/>
      <x:c r="Q6" s="195"/>
      <x:c r="R6" s="195"/>
      <x:c r="S6" s="195"/>
      <x:c r="T6" s="195"/>
      <x:c r="U6" s="195"/>
      <x:c r="V6" s="195"/>
      <x:c r="W6" s="195"/>
      <x:c r="X6" s="195"/>
      <x:c r="Y6" s="195"/>
      <x:c r="Z6" s="195"/>
    </x:row>
    <x:row r="7">
      <x:c r="A7" s="198" t="str">
        <x:v>Aantal volwassen ontvangers Na</x:v>
      </x:c>
      <x:c r="B7" s="270" t="n">
        <x:v>10000</x:v>
      </x:c>
      <x:c r="C7" s="212" t="str">
        <x:v>illustratieve populatie</x:v>
      </x:c>
      <x:c r="D7" s="196"/>
      <x:c r="E7" s="196"/>
      <x:c r="F7" s="196"/>
      <x:c r="G7" s="195"/>
      <x:c r="H7" s="195"/>
      <x:c r="I7" s="195"/>
      <x:c r="J7" s="195"/>
      <x:c r="K7" s="195"/>
      <x:c r="L7" s="195"/>
      <x:c r="M7" s="195"/>
      <x:c r="N7" s="195"/>
      <x:c r="O7" s="195"/>
      <x:c r="P7" s="195"/>
      <x:c r="Q7" s="195"/>
      <x:c r="R7" s="195"/>
      <x:c r="S7" s="195"/>
      <x:c r="T7" s="195"/>
      <x:c r="U7" s="195"/>
      <x:c r="V7" s="195"/>
      <x:c r="W7" s="195"/>
      <x:c r="X7" s="195"/>
      <x:c r="Y7" s="195"/>
      <x:c r="Z7" s="195"/>
    </x:row>
    <x:row r="8">
      <x:c r="A8" s="198" t="str">
        <x:v>Aantal kindontvangers Nk</x:v>
      </x:c>
      <x:c r="B8" s="271" t="n">
        <x:v>2000</x:v>
      </x:c>
      <x:c r="C8" s="215" t="str">
        <x:v>illustratieve populatie</x:v>
      </x:c>
      <x:c r="D8" s="196"/>
      <x:c r="E8" s="196"/>
      <x:c r="F8" s="196"/>
      <x:c r="G8" s="195"/>
      <x:c r="H8" s="195"/>
      <x:c r="I8" s="195"/>
      <x:c r="J8" s="195"/>
      <x:c r="K8" s="195"/>
      <x:c r="L8" s="195"/>
      <x:c r="M8" s="195"/>
      <x:c r="N8" s="195"/>
      <x:c r="O8" s="195"/>
      <x:c r="P8" s="195"/>
      <x:c r="Q8" s="195"/>
      <x:c r="R8" s="195"/>
      <x:c r="S8" s="195"/>
      <x:c r="T8" s="195"/>
      <x:c r="U8" s="195"/>
      <x:c r="V8" s="195"/>
      <x:c r="W8" s="195"/>
      <x:c r="X8" s="195"/>
      <x:c r="Y8" s="195"/>
      <x:c r="Z8" s="195"/>
    </x:row>
    <x:row r="9">
      <x:c r="A9" s="198" t="str">
        <x:v>Uitvoeringskosten per jaar</x:v>
      </x:c>
      <x:c r="B9" s="272" t="n">
        <x:v>5000000</x:v>
      </x:c>
      <x:c r="C9" s="215" t="str">
        <x:v>raming</x:v>
      </x:c>
      <x:c r="D9" s="196"/>
      <x:c r="E9" s="196"/>
      <x:c r="F9" s="196"/>
      <x:c r="G9" s="195"/>
      <x:c r="H9" s="195"/>
      <x:c r="I9" s="195"/>
      <x:c r="J9" s="195"/>
      <x:c r="K9" s="195"/>
      <x:c r="L9" s="195"/>
      <x:c r="M9" s="195"/>
      <x:c r="N9" s="195"/>
      <x:c r="O9" s="195"/>
      <x:c r="P9" s="195"/>
      <x:c r="Q9" s="195"/>
      <x:c r="R9" s="195"/>
      <x:c r="S9" s="195"/>
      <x:c r="T9" s="195"/>
      <x:c r="U9" s="195"/>
      <x:c r="V9" s="195"/>
      <x:c r="W9" s="195"/>
      <x:c r="X9" s="195"/>
      <x:c r="Y9" s="195"/>
      <x:c r="Z9" s="195"/>
    </x:row>
    <x:row r="10">
      <x:c r="A10" s="198" t="str">
        <x:v>Extra belastingopbrengst</x:v>
      </x:c>
      <x:c r="B10" s="272" t="n">
        <x:v>25000000</x:v>
      </x:c>
      <x:c r="C10" s="215" t="str">
        <x:v>raming</x:v>
      </x:c>
      <x:c r="D10" s="196"/>
      <x:c r="E10" s="196"/>
      <x:c r="F10" s="196"/>
      <x:c r="G10" s="195"/>
      <x:c r="H10" s="195"/>
      <x:c r="I10" s="195"/>
      <x:c r="J10" s="195"/>
      <x:c r="K10" s="195"/>
      <x:c r="L10" s="195"/>
      <x:c r="M10" s="195"/>
      <x:c r="N10" s="195"/>
      <x:c r="O10" s="195"/>
      <x:c r="P10" s="195"/>
      <x:c r="Q10" s="195"/>
      <x:c r="R10" s="195"/>
      <x:c r="S10" s="195"/>
      <x:c r="T10" s="195"/>
      <x:c r="U10" s="195"/>
      <x:c r="V10" s="195"/>
      <x:c r="W10" s="195"/>
      <x:c r="X10" s="195"/>
      <x:c r="Y10" s="195"/>
      <x:c r="Z10" s="195"/>
    </x:row>
    <x:row r="11">
      <x:c r="A11" s="198" t="str">
        <x:v>Besparing vervallen regelingen</x:v>
      </x:c>
      <x:c r="B11" s="273" t="n">
        <x:v>15000000</x:v>
      </x:c>
      <x:c r="C11" s="248" t="str">
        <x:v>raming</x:v>
      </x:c>
      <x:c r="D11" s="196"/>
      <x:c r="E11" s="196"/>
      <x:c r="F11" s="196"/>
      <x:c r="G11" s="195"/>
      <x:c r="H11" s="195"/>
      <x:c r="I11" s="195"/>
      <x:c r="J11" s="195"/>
      <x:c r="K11" s="195"/>
      <x:c r="L11" s="195"/>
      <x:c r="M11" s="195"/>
      <x:c r="N11" s="195"/>
      <x:c r="O11" s="195"/>
      <x:c r="P11" s="195"/>
      <x:c r="Q11" s="195"/>
      <x:c r="R11" s="195"/>
      <x:c r="S11" s="195"/>
      <x:c r="T11" s="195"/>
      <x:c r="U11" s="195"/>
      <x:c r="V11" s="195"/>
      <x:c r="W11" s="195"/>
      <x:c r="X11" s="195"/>
      <x:c r="Y11" s="195"/>
      <x:c r="Z11" s="195"/>
    </x:row>
    <x:row r="12">
      <x:c r="A12" s="198" t="str">
        <x:v>Prijspeil</x:v>
      </x:c>
      <x:c r="B12" s="274" t="str">
        <x:f>Normen!B9</x:f>
        <x:v>september 2026</x:v>
      </x:c>
      <x:c r="C12" s="196" t="str">
        <x:v>overgenomen uit Normen</x:v>
      </x:c>
      <x:c r="D12" s="196"/>
      <x:c r="E12" s="196"/>
      <x:c r="F12" s="196"/>
      <x:c r="G12" s="195"/>
      <x:c r="H12" s="195"/>
      <x:c r="I12" s="195"/>
      <x:c r="J12" s="195"/>
      <x:c r="K12" s="195"/>
      <x:c r="L12" s="195"/>
      <x:c r="M12" s="195"/>
      <x:c r="N12" s="195"/>
      <x:c r="O12" s="195"/>
      <x:c r="P12" s="195"/>
      <x:c r="Q12" s="195"/>
      <x:c r="R12" s="195"/>
      <x:c r="S12" s="195"/>
      <x:c r="T12" s="195"/>
      <x:c r="U12" s="195"/>
      <x:c r="V12" s="195"/>
      <x:c r="W12" s="195"/>
      <x:c r="X12" s="195"/>
      <x:c r="Y12" s="195"/>
      <x:c r="Z12" s="195"/>
    </x:row>
    <x:row r="13">
      <x:c r="A13" s="196"/>
      <x:c r="B13" s="196"/>
      <x:c r="C13" s="196"/>
      <x:c r="D13" s="196"/>
      <x:c r="E13" s="196"/>
      <x:c r="F13" s="196"/>
      <x:c r="G13" s="195"/>
      <x:c r="H13" s="195"/>
      <x:c r="I13" s="195"/>
      <x:c r="J13" s="195"/>
      <x:c r="K13" s="195"/>
      <x:c r="L13" s="195"/>
      <x:c r="M13" s="195"/>
      <x:c r="N13" s="195"/>
      <x:c r="O13" s="195"/>
      <x:c r="P13" s="195"/>
      <x:c r="Q13" s="195"/>
      <x:c r="R13" s="195"/>
      <x:c r="S13" s="195"/>
      <x:c r="T13" s="195"/>
      <x:c r="U13" s="195"/>
      <x:c r="V13" s="195"/>
      <x:c r="W13" s="195"/>
      <x:c r="X13" s="195"/>
      <x:c r="Y13" s="195"/>
      <x:c r="Z13" s="195"/>
    </x:row>
    <x:row r="14" ht="23" customHeight="1">
      <x:c r="A14" s="118" t="str">
        <x:v>Berekening actief scenario</x:v>
      </x:c>
      <x:c r="B14" s="118"/>
      <x:c r="C14" s="118"/>
      <x:c r="D14" s="196"/>
      <x:c r="E14" s="196"/>
      <x:c r="F14" s="196"/>
      <x:c r="G14" s="195"/>
      <x:c r="H14" s="195"/>
      <x:c r="I14" s="195"/>
      <x:c r="J14" s="195"/>
      <x:c r="K14" s="195"/>
      <x:c r="L14" s="195"/>
      <x:c r="M14" s="195"/>
      <x:c r="N14" s="195"/>
      <x:c r="O14" s="195"/>
      <x:c r="P14" s="195"/>
      <x:c r="Q14" s="195"/>
      <x:c r="R14" s="195"/>
      <x:c r="S14" s="195"/>
      <x:c r="T14" s="195"/>
      <x:c r="U14" s="195"/>
      <x:c r="V14" s="195"/>
      <x:c r="W14" s="195"/>
      <x:c r="X14" s="195"/>
      <x:c r="Y14" s="195"/>
      <x:c r="Z14" s="195"/>
    </x:row>
    <x:row r="15">
      <x:c r="A15" s="198" t="str">
        <x:v>Basisinkomen volwassene p.m.</x:v>
      </x:c>
      <x:c r="B15" s="200" t="n">
        <x:f>Normen!G9</x:f>
        <x:v>800</x:v>
      </x:c>
      <x:c r="C15" s="196" t="str">
        <x:v>uit actief scenario</x:v>
      </x:c>
      <x:c r="D15" s="196"/>
      <x:c r="E15" s="196"/>
      <x:c r="F15" s="196"/>
      <x:c r="G15" s="195"/>
      <x:c r="H15" s="195"/>
      <x:c r="I15" s="195"/>
      <x:c r="J15" s="195"/>
      <x:c r="K15" s="195"/>
      <x:c r="L15" s="195"/>
      <x:c r="M15" s="195"/>
      <x:c r="N15" s="195"/>
      <x:c r="O15" s="195"/>
      <x:c r="P15" s="195"/>
      <x:c r="Q15" s="195"/>
      <x:c r="R15" s="195"/>
      <x:c r="S15" s="195"/>
      <x:c r="T15" s="195"/>
      <x:c r="U15" s="195"/>
      <x:c r="V15" s="195"/>
      <x:c r="W15" s="195"/>
      <x:c r="X15" s="195"/>
      <x:c r="Y15" s="195"/>
      <x:c r="Z15" s="195"/>
    </x:row>
    <x:row r="16">
      <x:c r="A16" s="198" t="str">
        <x:v>Basisinkomen kind p.m.</x:v>
      </x:c>
      <x:c r="B16" s="202" t="n">
        <x:f>Normen!G10</x:f>
        <x:v>0</x:v>
      </x:c>
      <x:c r="C16" s="196" t="str">
        <x:v>uit actief scenario</x:v>
      </x:c>
      <x:c r="D16" s="196"/>
      <x:c r="E16" s="196"/>
      <x:c r="F16" s="196"/>
      <x:c r="G16" s="195"/>
      <x:c r="H16" s="195"/>
      <x:c r="I16" s="195"/>
      <x:c r="J16" s="195"/>
      <x:c r="K16" s="195"/>
      <x:c r="L16" s="195"/>
      <x:c r="M16" s="195"/>
      <x:c r="N16" s="195"/>
      <x:c r="O16" s="195"/>
      <x:c r="P16" s="195"/>
      <x:c r="Q16" s="195"/>
      <x:c r="R16" s="195"/>
      <x:c r="S16" s="195"/>
      <x:c r="T16" s="195"/>
      <x:c r="U16" s="195"/>
      <x:c r="V16" s="195"/>
      <x:c r="W16" s="195"/>
      <x:c r="X16" s="195"/>
      <x:c r="Y16" s="195"/>
      <x:c r="Z16" s="195"/>
    </x:row>
    <x:row r="17">
      <x:c r="A17" s="198" t="str">
        <x:v>Bruto uitgaven per jaar Cbruto</x:v>
      </x:c>
      <x:c r="B17" s="202" t="n">
        <x:f>12*(B15*B7+B16*B8)</x:f>
        <x:v>96000000</x:v>
      </x:c>
      <x:c r="C17" s="196" t="str">
        <x:v>12 × (b × Na + c × Nk)</x:v>
      </x:c>
      <x:c r="D17" s="196"/>
      <x:c r="E17" s="196"/>
      <x:c r="F17" s="196"/>
      <x:c r="G17" s="195"/>
      <x:c r="H17" s="195"/>
      <x:c r="I17" s="195"/>
      <x:c r="J17" s="195"/>
      <x:c r="K17" s="195"/>
      <x:c r="L17" s="195"/>
      <x:c r="M17" s="195"/>
      <x:c r="N17" s="195"/>
      <x:c r="O17" s="195"/>
      <x:c r="P17" s="195"/>
      <x:c r="Q17" s="195"/>
      <x:c r="R17" s="195"/>
      <x:c r="S17" s="195"/>
      <x:c r="T17" s="195"/>
      <x:c r="U17" s="195"/>
      <x:c r="V17" s="195"/>
      <x:c r="W17" s="195"/>
      <x:c r="X17" s="195"/>
      <x:c r="Y17" s="195"/>
      <x:c r="Z17" s="195"/>
    </x:row>
    <x:row r="18">
      <x:c r="A18" s="198" t="str">
        <x:v>Netto publieke kosten Cnetto</x:v>
      </x:c>
      <x:c r="B18" s="202" t="n">
        <x:f>B17+B9-B10-B11</x:f>
        <x:v>61000000</x:v>
      </x:c>
      <x:c r="C18" s="196" t="str">
        <x:v>bruto + uitvoering − extra belasting − besparing</x:v>
      </x:c>
      <x:c r="D18" s="196"/>
      <x:c r="E18" s="196"/>
      <x:c r="F18" s="196"/>
      <x:c r="G18" s="195"/>
      <x:c r="H18" s="195"/>
      <x:c r="I18" s="195"/>
      <x:c r="J18" s="195"/>
      <x:c r="K18" s="195"/>
      <x:c r="L18" s="195"/>
      <x:c r="M18" s="195"/>
      <x:c r="N18" s="195"/>
      <x:c r="O18" s="195"/>
      <x:c r="P18" s="195"/>
      <x:c r="Q18" s="195"/>
      <x:c r="R18" s="195"/>
      <x:c r="S18" s="195"/>
      <x:c r="T18" s="195"/>
      <x:c r="U18" s="195"/>
      <x:c r="V18" s="195"/>
      <x:c r="W18" s="195"/>
      <x:c r="X18" s="195"/>
      <x:c r="Y18" s="195"/>
      <x:c r="Z18" s="195"/>
    </x:row>
    <x:row r="19">
      <x:c r="A19" s="198" t="str">
        <x:v>Bruto uitgaven per inwoner p.j.</x:v>
      </x:c>
      <x:c r="B19" s="202" t="n">
        <x:f>IF(B7+B8=0,"",B17/(B7+B8))</x:f>
        <x:v>8000</x:v>
      </x:c>
      <x:c r="C19" s="196" t="str">
        <x:v>controlegetal</x:v>
      </x:c>
      <x:c r="D19" s="196"/>
      <x:c r="E19" s="196"/>
      <x:c r="F19" s="196"/>
      <x:c r="G19" s="195"/>
      <x:c r="H19" s="195"/>
      <x:c r="I19" s="195"/>
      <x:c r="J19" s="195"/>
      <x:c r="K19" s="195"/>
      <x:c r="L19" s="195"/>
      <x:c r="M19" s="195"/>
      <x:c r="N19" s="195"/>
      <x:c r="O19" s="195"/>
      <x:c r="P19" s="195"/>
      <x:c r="Q19" s="195"/>
      <x:c r="R19" s="195"/>
      <x:c r="S19" s="195"/>
      <x:c r="T19" s="195"/>
      <x:c r="U19" s="195"/>
      <x:c r="V19" s="195"/>
      <x:c r="W19" s="195"/>
      <x:c r="X19" s="195"/>
      <x:c r="Y19" s="195"/>
      <x:c r="Z19" s="195"/>
    </x:row>
    <x:row r="20">
      <x:c r="A20" s="198" t="str">
        <x:v>Netto kosten als % van bruto</x:v>
      </x:c>
      <x:c r="B20" s="204" t="n">
        <x:f>IF(B17=0,"",B18/B17)</x:f>
        <x:v>0.6354166666666666</x:v>
      </x:c>
      <x:c r="C20" s="196" t="str">
        <x:v>controlegetal</x:v>
      </x:c>
      <x:c r="D20" s="196"/>
      <x:c r="E20" s="196"/>
      <x:c r="F20" s="196"/>
      <x:c r="G20" s="195"/>
      <x:c r="H20" s="195"/>
      <x:c r="I20" s="195"/>
      <x:c r="J20" s="195"/>
      <x:c r="K20" s="195"/>
      <x:c r="L20" s="195"/>
      <x:c r="M20" s="195"/>
      <x:c r="N20" s="195"/>
      <x:c r="O20" s="195"/>
      <x:c r="P20" s="195"/>
      <x:c r="Q20" s="195"/>
      <x:c r="R20" s="195"/>
      <x:c r="S20" s="195"/>
      <x:c r="T20" s="195"/>
      <x:c r="U20" s="195"/>
      <x:c r="V20" s="195"/>
      <x:c r="W20" s="195"/>
      <x:c r="X20" s="195"/>
      <x:c r="Y20" s="195"/>
      <x:c r="Z20" s="195"/>
    </x:row>
    <x:row r="21">
      <x:c r="A21" s="198" t="str">
        <x:v>Doeldekking</x:v>
      </x:c>
      <x:c r="B21" s="209" t="n">
        <x:f>Normen!B11</x:f>
        <x:v>0.95</x:v>
      </x:c>
      <x:c r="C21" s="196" t="str">
        <x:v>uit Normen</x:v>
      </x:c>
      <x:c r="D21" s="196"/>
      <x:c r="E21" s="196"/>
      <x:c r="F21" s="196"/>
      <x:c r="G21" s="195"/>
      <x:c r="H21" s="195"/>
      <x:c r="I21" s="195"/>
      <x:c r="J21" s="195"/>
      <x:c r="K21" s="195"/>
      <x:c r="L21" s="195"/>
      <x:c r="M21" s="195"/>
      <x:c r="N21" s="195"/>
      <x:c r="O21" s="195"/>
      <x:c r="P21" s="195"/>
      <x:c r="Q21" s="195"/>
      <x:c r="R21" s="195"/>
      <x:c r="S21" s="195"/>
      <x:c r="T21" s="195"/>
      <x:c r="U21" s="195"/>
      <x:c r="V21" s="195"/>
      <x:c r="W21" s="195"/>
      <x:c r="X21" s="195"/>
      <x:c r="Y21" s="195"/>
      <x:c r="Z21" s="195"/>
    </x:row>
    <x:row r="22">
      <x:c r="A22" s="196"/>
      <x:c r="B22" s="196"/>
      <x:c r="C22" s="196"/>
      <x:c r="D22" s="196"/>
      <x:c r="E22" s="196"/>
      <x:c r="F22" s="196"/>
      <x:c r="G22" s="195"/>
      <x:c r="H22" s="195"/>
      <x:c r="I22" s="195"/>
      <x:c r="J22" s="195"/>
      <x:c r="K22" s="195"/>
      <x:c r="L22" s="195"/>
      <x:c r="M22" s="195"/>
      <x:c r="N22" s="195"/>
      <x:c r="O22" s="195"/>
      <x:c r="P22" s="195"/>
      <x:c r="Q22" s="195"/>
      <x:c r="R22" s="195"/>
      <x:c r="S22" s="195"/>
      <x:c r="T22" s="195"/>
      <x:c r="U22" s="195"/>
      <x:c r="V22" s="195"/>
      <x:c r="W22" s="195"/>
      <x:c r="X22" s="195"/>
      <x:c r="Y22" s="195"/>
      <x:c r="Z22" s="195"/>
    </x:row>
    <x:row r="23" ht="31" customHeight="1">
      <x:c r="A23" s="211" t="str">
        <x:v>Aanvullende analyse</x:v>
      </x:c>
      <x:c r="B23" s="211" t="str">
        <x:v>Leg afzonderlijk vast welke regelingen vervallen, welke blijven bestaan en wie er per saldo op vooruit- of achteruitgaat.</x:v>
      </x:c>
      <x:c r="C23" s="211" t="str"/>
      <x:c r="D23" s="211" t="str"/>
      <x:c r="E23" s="211" t="str"/>
      <x:c r="F23" s="211" t="str"/>
      <x:c r="G23" s="195"/>
      <x:c r="H23" s="195"/>
      <x:c r="I23" s="195"/>
      <x:c r="J23" s="195"/>
      <x:c r="K23" s="195"/>
      <x:c r="L23" s="195"/>
      <x:c r="M23" s="195"/>
      <x:c r="N23" s="195"/>
      <x:c r="O23" s="195"/>
      <x:c r="P23" s="195"/>
      <x:c r="Q23" s="195"/>
      <x:c r="R23" s="195"/>
      <x:c r="S23" s="195"/>
      <x:c r="T23" s="195"/>
      <x:c r="U23" s="195"/>
      <x:c r="V23" s="195"/>
      <x:c r="W23" s="195"/>
      <x:c r="X23" s="195"/>
      <x:c r="Y23" s="195"/>
      <x:c r="Z23" s="195"/>
    </x:row>
    <x:row r="24" ht="31" customHeight="1">
      <x:c r="A24" s="211" t="str">
        <x:v>Belasting</x:v>
      </x:c>
      <x:c r="B24" s="211" t="str">
        <x:v>Een basisinkomen en de belastingheffing horen in één scenario. Vul daarom terugvloeiing niet als sluitpost in.</x:v>
      </x:c>
      <x:c r="C24" s="211" t="str"/>
      <x:c r="D24" s="211" t="str"/>
      <x:c r="E24" s="211" t="str"/>
      <x:c r="F24" s="211" t="str"/>
      <x:c r="G24" s="195"/>
      <x:c r="H24" s="195"/>
      <x:c r="I24" s="195"/>
      <x:c r="J24" s="195"/>
      <x:c r="K24" s="195"/>
      <x:c r="L24" s="195"/>
      <x:c r="M24" s="195"/>
      <x:c r="N24" s="195"/>
      <x:c r="O24" s="195"/>
      <x:c r="P24" s="195"/>
      <x:c r="Q24" s="195"/>
      <x:c r="R24" s="195"/>
      <x:c r="S24" s="195"/>
      <x:c r="T24" s="195"/>
      <x:c r="U24" s="195"/>
      <x:c r="V24" s="195"/>
      <x:c r="W24" s="195"/>
      <x:c r="X24" s="195"/>
      <x:c r="Y24" s="195"/>
      <x:c r="Z24" s="195"/>
    </x:row>
    <x:row r="25" ht="31" customHeight="1">
      <x:c r="A25" s="211" t="str">
        <x:v>Dynamiek</x:v>
      </x:c>
      <x:c r="B25" s="211" t="str">
        <x:v>Werk-, prijs-, huur- en migratie-effecten vallen buiten versie 0.1 en horen in gevoeligheidsanalyses.</x:v>
      </x:c>
      <x:c r="C25" s="211" t="str"/>
      <x:c r="D25" s="211" t="str"/>
      <x:c r="E25" s="211" t="str"/>
      <x:c r="F25" s="211" t="str"/>
      <x:c r="G25" s="195"/>
      <x:c r="H25" s="195"/>
      <x:c r="I25" s="195"/>
      <x:c r="J25" s="195"/>
      <x:c r="K25" s="195"/>
      <x:c r="L25" s="195"/>
      <x:c r="M25" s="195"/>
      <x:c r="N25" s="195"/>
      <x:c r="O25" s="195"/>
      <x:c r="P25" s="195"/>
      <x:c r="Q25" s="195"/>
      <x:c r="R25" s="195"/>
      <x:c r="S25" s="195"/>
      <x:c r="T25" s="195"/>
      <x:c r="U25" s="195"/>
      <x:c r="V25" s="195"/>
      <x:c r="W25" s="195"/>
      <x:c r="X25" s="195"/>
      <x:c r="Y25" s="195"/>
      <x:c r="Z25" s="195"/>
    </x:row>
    <x:row r="26" ht="31" customHeight="1">
      <x:c r="A26" s="211" t="str">
        <x:v>Verdeling</x:v>
      </x:c>
      <x:c r="B26" s="211" t="str">
        <x:v>Toon resultaten minstens naar inkomen, huishoudtype, leeftijd, regio en woonsituatie.</x:v>
      </x:c>
      <x:c r="C26" s="211" t="str"/>
      <x:c r="D26" s="211" t="str"/>
      <x:c r="E26" s="211" t="str"/>
      <x:c r="F26" s="211" t="str"/>
      <x:c r="G26" s="195"/>
      <x:c r="H26" s="195"/>
      <x:c r="I26" s="195"/>
      <x:c r="J26" s="195"/>
      <x:c r="K26" s="195"/>
      <x:c r="L26" s="195"/>
      <x:c r="M26" s="195"/>
      <x:c r="N26" s="195"/>
      <x:c r="O26" s="195"/>
      <x:c r="P26" s="195"/>
      <x:c r="Q26" s="195"/>
      <x:c r="R26" s="195"/>
      <x:c r="S26" s="195"/>
      <x:c r="T26" s="195"/>
      <x:c r="U26" s="195"/>
      <x:c r="V26" s="195"/>
      <x:c r="W26" s="195"/>
      <x:c r="X26" s="195"/>
      <x:c r="Y26" s="195"/>
      <x:c r="Z26" s="195"/>
    </x:row>
    <x:row r="27" ht="31" customHeight="1">
      <x:c r="A27" s="211" t="str">
        <x:v>Controle</x:v>
      </x:c>
      <x:c r="B27" s="211" t="str">
        <x:v>Alle bedragen zijn per maand tenzij ‘per jaar’ is vermeld.</x:v>
      </x:c>
      <x:c r="C27" s="211" t="str"/>
      <x:c r="D27" s="211" t="str"/>
      <x:c r="E27" s="211" t="str"/>
      <x:c r="F27" s="211" t="str"/>
      <x:c r="G27" s="195"/>
      <x:c r="H27" s="195"/>
      <x:c r="I27" s="195"/>
      <x:c r="J27" s="195"/>
      <x:c r="K27" s="195"/>
      <x:c r="L27" s="195"/>
      <x:c r="M27" s="195"/>
      <x:c r="N27" s="195"/>
      <x:c r="O27" s="195"/>
      <x:c r="P27" s="195"/>
      <x:c r="Q27" s="195"/>
      <x:c r="R27" s="195"/>
      <x:c r="S27" s="195"/>
      <x:c r="T27" s="195"/>
      <x:c r="U27" s="195"/>
      <x:c r="V27" s="195"/>
      <x:c r="W27" s="195"/>
      <x:c r="X27" s="195"/>
      <x:c r="Y27" s="195"/>
      <x:c r="Z27" s="195"/>
    </x:row>
    <x:row r="28">
      <x:c r="A28" s="195"/>
      <x:c r="B28" s="195"/>
      <x:c r="C28" s="195"/>
      <x:c r="D28" s="195"/>
      <x:c r="E28" s="195"/>
      <x:c r="F28" s="195"/>
      <x:c r="G28" s="195"/>
      <x:c r="H28" s="195"/>
      <x:c r="I28" s="195"/>
      <x:c r="J28" s="195"/>
      <x:c r="K28" s="195"/>
      <x:c r="L28" s="195"/>
      <x:c r="M28" s="195"/>
      <x:c r="N28" s="195"/>
      <x:c r="O28" s="195"/>
      <x:c r="P28" s="195"/>
      <x:c r="Q28" s="195"/>
      <x:c r="R28" s="195"/>
      <x:c r="S28" s="195"/>
      <x:c r="T28" s="195"/>
      <x:c r="U28" s="195"/>
      <x:c r="V28" s="195"/>
      <x:c r="W28" s="195"/>
      <x:c r="X28" s="195"/>
      <x:c r="Y28" s="195"/>
      <x:c r="Z28" s="195"/>
    </x:row>
    <x:row r="29">
      <x:c r="A29" s="195"/>
      <x:c r="B29" s="195"/>
      <x:c r="C29" s="195"/>
      <x:c r="D29" s="195"/>
      <x:c r="E29" s="195"/>
      <x:c r="F29" s="195"/>
      <x:c r="G29" s="195"/>
      <x:c r="H29" s="195"/>
      <x:c r="I29" s="195"/>
      <x:c r="J29" s="195"/>
      <x:c r="K29" s="195"/>
      <x:c r="L29" s="195"/>
      <x:c r="M29" s="195"/>
      <x:c r="N29" s="195"/>
      <x:c r="O29" s="195"/>
      <x:c r="P29" s="195"/>
      <x:c r="Q29" s="195"/>
      <x:c r="R29" s="195"/>
      <x:c r="S29" s="195"/>
      <x:c r="T29" s="195"/>
      <x:c r="U29" s="195"/>
      <x:c r="V29" s="195"/>
      <x:c r="W29" s="195"/>
      <x:c r="X29" s="195"/>
      <x:c r="Y29" s="195"/>
      <x:c r="Z29" s="195"/>
    </x:row>
    <x:row r="30">
      <x:c r="A30" s="195"/>
      <x:c r="B30" s="195"/>
      <x:c r="C30" s="195"/>
      <x:c r="D30" s="195"/>
      <x:c r="E30" s="195"/>
      <x:c r="F30" s="195"/>
      <x:c r="G30" s="195"/>
      <x:c r="H30" s="195"/>
      <x:c r="I30" s="195"/>
      <x:c r="J30" s="195"/>
      <x:c r="K30" s="195"/>
      <x:c r="L30" s="195"/>
      <x:c r="M30" s="195"/>
      <x:c r="N30" s="195"/>
      <x:c r="O30" s="195"/>
      <x:c r="P30" s="195"/>
      <x:c r="Q30" s="195"/>
      <x:c r="R30" s="195"/>
      <x:c r="S30" s="195"/>
      <x:c r="T30" s="195"/>
      <x:c r="U30" s="195"/>
      <x:c r="V30" s="195"/>
      <x:c r="W30" s="195"/>
      <x:c r="X30" s="195"/>
      <x:c r="Y30" s="195"/>
      <x:c r="Z30" s="195"/>
    </x:row>
    <x:row r="31">
      <x:c r="A31" s="195"/>
      <x:c r="B31" s="195"/>
      <x:c r="C31" s="195"/>
      <x:c r="D31" s="195"/>
      <x:c r="E31" s="195"/>
      <x:c r="F31" s="195"/>
      <x:c r="G31" s="195"/>
      <x:c r="H31" s="195"/>
      <x:c r="I31" s="195"/>
      <x:c r="J31" s="195"/>
      <x:c r="K31" s="195"/>
      <x:c r="L31" s="195"/>
      <x:c r="M31" s="195"/>
      <x:c r="N31" s="195"/>
      <x:c r="O31" s="195"/>
      <x:c r="P31" s="195"/>
      <x:c r="Q31" s="195"/>
      <x:c r="R31" s="195"/>
      <x:c r="S31" s="195"/>
      <x:c r="T31" s="195"/>
      <x:c r="U31" s="195"/>
      <x:c r="V31" s="195"/>
      <x:c r="W31" s="195"/>
      <x:c r="X31" s="195"/>
      <x:c r="Y31" s="195"/>
      <x:c r="Z31" s="195"/>
    </x:row>
    <x:row r="32">
      <x:c r="A32" s="195"/>
      <x:c r="B32" s="195"/>
      <x:c r="C32" s="195"/>
      <x:c r="D32" s="195"/>
      <x:c r="E32" s="195"/>
      <x:c r="F32" s="195"/>
      <x:c r="G32" s="195"/>
      <x:c r="H32" s="195"/>
      <x:c r="I32" s="195"/>
      <x:c r="J32" s="195"/>
      <x:c r="K32" s="195"/>
      <x:c r="L32" s="195"/>
      <x:c r="M32" s="195"/>
      <x:c r="N32" s="195"/>
      <x:c r="O32" s="195"/>
      <x:c r="P32" s="195"/>
      <x:c r="Q32" s="195"/>
      <x:c r="R32" s="195"/>
      <x:c r="S32" s="195"/>
      <x:c r="T32" s="195"/>
      <x:c r="U32" s="195"/>
      <x:c r="V32" s="195"/>
      <x:c r="W32" s="195"/>
      <x:c r="X32" s="195"/>
      <x:c r="Y32" s="195"/>
      <x:c r="Z32" s="195"/>
    </x:row>
    <x:row r="33">
      <x:c r="A33" s="195"/>
      <x:c r="B33" s="195"/>
      <x:c r="C33" s="195"/>
      <x:c r="D33" s="195"/>
      <x:c r="E33" s="195"/>
      <x:c r="F33" s="195"/>
      <x:c r="G33" s="195"/>
      <x:c r="H33" s="195"/>
      <x:c r="I33" s="195"/>
      <x:c r="J33" s="195"/>
      <x:c r="K33" s="195"/>
      <x:c r="L33" s="195"/>
      <x:c r="M33" s="195"/>
      <x:c r="N33" s="195"/>
      <x:c r="O33" s="195"/>
      <x:c r="P33" s="195"/>
      <x:c r="Q33" s="195"/>
      <x:c r="R33" s="195"/>
      <x:c r="S33" s="195"/>
      <x:c r="T33" s="195"/>
      <x:c r="U33" s="195"/>
      <x:c r="V33" s="195"/>
      <x:c r="W33" s="195"/>
      <x:c r="X33" s="195"/>
      <x:c r="Y33" s="195"/>
      <x:c r="Z33" s="195"/>
    </x:row>
    <x:row r="34">
      <x:c r="A34" s="195"/>
      <x:c r="B34" s="195"/>
      <x:c r="C34" s="195"/>
      <x:c r="D34" s="195"/>
      <x:c r="E34" s="195"/>
      <x:c r="F34" s="195"/>
      <x:c r="G34" s="195"/>
      <x:c r="H34" s="195"/>
      <x:c r="I34" s="195"/>
      <x:c r="J34" s="195"/>
      <x:c r="K34" s="195"/>
      <x:c r="L34" s="195"/>
      <x:c r="M34" s="195"/>
      <x:c r="N34" s="195"/>
      <x:c r="O34" s="195"/>
      <x:c r="P34" s="195"/>
      <x:c r="Q34" s="195"/>
      <x:c r="R34" s="195"/>
      <x:c r="S34" s="195"/>
      <x:c r="T34" s="195"/>
      <x:c r="U34" s="195"/>
      <x:c r="V34" s="195"/>
      <x:c r="W34" s="195"/>
      <x:c r="X34" s="195"/>
      <x:c r="Y34" s="195"/>
      <x:c r="Z34" s="195"/>
    </x:row>
    <x:row r="35">
      <x:c r="A35" s="195"/>
      <x:c r="B35" s="195"/>
      <x:c r="C35" s="195"/>
      <x:c r="D35" s="195"/>
      <x:c r="E35" s="195"/>
      <x:c r="F35" s="195"/>
      <x:c r="G35" s="195"/>
      <x:c r="H35" s="195"/>
      <x:c r="I35" s="195"/>
      <x:c r="J35" s="195"/>
      <x:c r="K35" s="195"/>
      <x:c r="L35" s="195"/>
      <x:c r="M35" s="195"/>
      <x:c r="N35" s="195"/>
      <x:c r="O35" s="195"/>
      <x:c r="P35" s="195"/>
      <x:c r="Q35" s="195"/>
      <x:c r="R35" s="195"/>
      <x:c r="S35" s="195"/>
      <x:c r="T35" s="195"/>
      <x:c r="U35" s="195"/>
      <x:c r="V35" s="195"/>
      <x:c r="W35" s="195"/>
      <x:c r="X35" s="195"/>
      <x:c r="Y35" s="195"/>
      <x:c r="Z35" s="195"/>
    </x:row>
    <x:row r="36">
      <x:c r="A36" s="195"/>
      <x:c r="B36" s="195"/>
      <x:c r="C36" s="195"/>
      <x:c r="D36" s="195"/>
      <x:c r="E36" s="195"/>
      <x:c r="F36" s="195"/>
      <x:c r="G36" s="195"/>
      <x:c r="H36" s="195"/>
      <x:c r="I36" s="195"/>
      <x:c r="J36" s="195"/>
      <x:c r="K36" s="195"/>
      <x:c r="L36" s="195"/>
      <x:c r="M36" s="195"/>
      <x:c r="N36" s="195"/>
      <x:c r="O36" s="195"/>
      <x:c r="P36" s="195"/>
      <x:c r="Q36" s="195"/>
      <x:c r="R36" s="195"/>
      <x:c r="S36" s="195"/>
      <x:c r="T36" s="195"/>
      <x:c r="U36" s="195"/>
      <x:c r="V36" s="195"/>
      <x:c r="W36" s="195"/>
      <x:c r="X36" s="195"/>
      <x:c r="Y36" s="195"/>
      <x:c r="Z36" s="195"/>
    </x:row>
    <x:row r="37">
      <x:c r="A37" s="195"/>
      <x:c r="B37" s="195"/>
      <x:c r="C37" s="195"/>
      <x:c r="D37" s="195"/>
      <x:c r="E37" s="195"/>
      <x:c r="F37" s="195"/>
      <x:c r="G37" s="195"/>
      <x:c r="H37" s="195"/>
      <x:c r="I37" s="195"/>
      <x:c r="J37" s="195"/>
      <x:c r="K37" s="195"/>
      <x:c r="L37" s="195"/>
      <x:c r="M37" s="195"/>
      <x:c r="N37" s="195"/>
      <x:c r="O37" s="195"/>
      <x:c r="P37" s="195"/>
      <x:c r="Q37" s="195"/>
      <x:c r="R37" s="195"/>
      <x:c r="S37" s="195"/>
      <x:c r="T37" s="195"/>
      <x:c r="U37" s="195"/>
      <x:c r="V37" s="195"/>
      <x:c r="W37" s="195"/>
      <x:c r="X37" s="195"/>
      <x:c r="Y37" s="195"/>
      <x:c r="Z37" s="195"/>
    </x:row>
    <x:row r="38">
      <x:c r="A38" s="195"/>
      <x:c r="B38" s="195"/>
      <x:c r="C38" s="195"/>
      <x:c r="D38" s="195"/>
      <x:c r="E38" s="195"/>
      <x:c r="F38" s="195"/>
      <x:c r="G38" s="195"/>
      <x:c r="H38" s="195"/>
      <x:c r="I38" s="195"/>
      <x:c r="J38" s="195"/>
      <x:c r="K38" s="195"/>
      <x:c r="L38" s="195"/>
      <x:c r="M38" s="195"/>
      <x:c r="N38" s="195"/>
      <x:c r="O38" s="195"/>
      <x:c r="P38" s="195"/>
      <x:c r="Q38" s="195"/>
      <x:c r="R38" s="195"/>
      <x:c r="S38" s="195"/>
      <x:c r="T38" s="195"/>
      <x:c r="U38" s="195"/>
      <x:c r="V38" s="195"/>
      <x:c r="W38" s="195"/>
      <x:c r="X38" s="195"/>
      <x:c r="Y38" s="195"/>
      <x:c r="Z38" s="195"/>
    </x:row>
    <x:row r="39">
      <x:c r="A39" s="195"/>
      <x:c r="B39" s="195"/>
      <x:c r="C39" s="195"/>
      <x:c r="D39" s="195"/>
      <x:c r="E39" s="195"/>
      <x:c r="F39" s="195"/>
      <x:c r="G39" s="195"/>
      <x:c r="H39" s="195"/>
      <x:c r="I39" s="195"/>
      <x:c r="J39" s="195"/>
      <x:c r="K39" s="195"/>
      <x:c r="L39" s="195"/>
      <x:c r="M39" s="195"/>
      <x:c r="N39" s="195"/>
      <x:c r="O39" s="195"/>
      <x:c r="P39" s="195"/>
      <x:c r="Q39" s="195"/>
      <x:c r="R39" s="195"/>
      <x:c r="S39" s="195"/>
      <x:c r="T39" s="195"/>
      <x:c r="U39" s="195"/>
      <x:c r="V39" s="195"/>
      <x:c r="W39" s="195"/>
      <x:c r="X39" s="195"/>
      <x:c r="Y39" s="195"/>
      <x:c r="Z39" s="195"/>
    </x:row>
    <x:row r="40">
      <x:c r="A40" s="195"/>
      <x:c r="B40" s="195"/>
      <x:c r="C40" s="195"/>
      <x:c r="D40" s="195"/>
      <x:c r="E40" s="195"/>
      <x:c r="F40" s="195"/>
      <x:c r="G40" s="195"/>
      <x:c r="H40" s="195"/>
      <x:c r="I40" s="195"/>
      <x:c r="J40" s="195"/>
      <x:c r="K40" s="195"/>
      <x:c r="L40" s="195"/>
      <x:c r="M40" s="195"/>
      <x:c r="N40" s="195"/>
      <x:c r="O40" s="195"/>
      <x:c r="P40" s="195"/>
      <x:c r="Q40" s="195"/>
      <x:c r="R40" s="195"/>
      <x:c r="S40" s="195"/>
      <x:c r="T40" s="195"/>
      <x:c r="U40" s="195"/>
      <x:c r="V40" s="195"/>
      <x:c r="W40" s="195"/>
      <x:c r="X40" s="195"/>
      <x:c r="Y40" s="195"/>
      <x:c r="Z40" s="195"/>
    </x:row>
    <x:row r="41">
      <x:c r="A41" s="195"/>
      <x:c r="B41" s="195"/>
      <x:c r="C41" s="195"/>
      <x:c r="D41" s="195"/>
      <x:c r="E41" s="195"/>
      <x:c r="F41" s="195"/>
      <x:c r="G41" s="195"/>
      <x:c r="H41" s="195"/>
      <x:c r="I41" s="195"/>
      <x:c r="J41" s="195"/>
      <x:c r="K41" s="195"/>
      <x:c r="L41" s="195"/>
      <x:c r="M41" s="195"/>
      <x:c r="N41" s="195"/>
      <x:c r="O41" s="195"/>
      <x:c r="P41" s="195"/>
      <x:c r="Q41" s="195"/>
      <x:c r="R41" s="195"/>
      <x:c r="S41" s="195"/>
      <x:c r="T41" s="195"/>
      <x:c r="U41" s="195"/>
      <x:c r="V41" s="195"/>
      <x:c r="W41" s="195"/>
      <x:c r="X41" s="195"/>
      <x:c r="Y41" s="195"/>
      <x:c r="Z41" s="195"/>
    </x:row>
    <x:row r="42">
      <x:c r="A42" s="195"/>
      <x:c r="B42" s="195"/>
      <x:c r="C42" s="195"/>
      <x:c r="D42" s="195"/>
      <x:c r="E42" s="195"/>
      <x:c r="F42" s="195"/>
      <x:c r="G42" s="195"/>
      <x:c r="H42" s="195"/>
      <x:c r="I42" s="195"/>
      <x:c r="J42" s="195"/>
      <x:c r="K42" s="195"/>
      <x:c r="L42" s="195"/>
      <x:c r="M42" s="195"/>
      <x:c r="N42" s="195"/>
      <x:c r="O42" s="195"/>
      <x:c r="P42" s="195"/>
      <x:c r="Q42" s="195"/>
      <x:c r="R42" s="195"/>
      <x:c r="S42" s="195"/>
      <x:c r="T42" s="195"/>
      <x:c r="U42" s="195"/>
      <x:c r="V42" s="195"/>
      <x:c r="W42" s="195"/>
      <x:c r="X42" s="195"/>
      <x:c r="Y42" s="195"/>
      <x:c r="Z42" s="195"/>
    </x:row>
    <x:row r="43">
      <x:c r="A43" s="195"/>
      <x:c r="B43" s="195"/>
      <x:c r="C43" s="195"/>
      <x:c r="D43" s="195"/>
      <x:c r="E43" s="195"/>
      <x:c r="F43" s="195"/>
      <x:c r="G43" s="195"/>
      <x:c r="H43" s="195"/>
      <x:c r="I43" s="195"/>
      <x:c r="J43" s="195"/>
      <x:c r="K43" s="195"/>
      <x:c r="L43" s="195"/>
      <x:c r="M43" s="195"/>
      <x:c r="N43" s="195"/>
      <x:c r="O43" s="195"/>
      <x:c r="P43" s="195"/>
      <x:c r="Q43" s="195"/>
      <x:c r="R43" s="195"/>
      <x:c r="S43" s="195"/>
      <x:c r="T43" s="195"/>
      <x:c r="U43" s="195"/>
      <x:c r="V43" s="195"/>
      <x:c r="W43" s="195"/>
      <x:c r="X43" s="195"/>
      <x:c r="Y43" s="195"/>
      <x:c r="Z43" s="195"/>
    </x:row>
    <x:row r="44">
      <x:c r="A44" s="195"/>
      <x:c r="B44" s="195"/>
      <x:c r="C44" s="195"/>
      <x:c r="D44" s="195"/>
      <x:c r="E44" s="195"/>
      <x:c r="F44" s="195"/>
      <x:c r="G44" s="195"/>
      <x:c r="H44" s="195"/>
      <x:c r="I44" s="195"/>
      <x:c r="J44" s="195"/>
      <x:c r="K44" s="195"/>
      <x:c r="L44" s="195"/>
      <x:c r="M44" s="195"/>
      <x:c r="N44" s="195"/>
      <x:c r="O44" s="195"/>
      <x:c r="P44" s="195"/>
      <x:c r="Q44" s="195"/>
      <x:c r="R44" s="195"/>
      <x:c r="S44" s="195"/>
      <x:c r="T44" s="195"/>
      <x:c r="U44" s="195"/>
      <x:c r="V44" s="195"/>
      <x:c r="W44" s="195"/>
      <x:c r="X44" s="195"/>
      <x:c r="Y44" s="195"/>
      <x:c r="Z44" s="195"/>
    </x:row>
    <x:row r="45">
      <x:c r="A45" s="195"/>
      <x:c r="B45" s="195"/>
      <x:c r="C45" s="195"/>
      <x:c r="D45" s="195"/>
      <x:c r="E45" s="195"/>
      <x:c r="F45" s="195"/>
      <x:c r="G45" s="195"/>
      <x:c r="H45" s="195"/>
      <x:c r="I45" s="195"/>
      <x:c r="J45" s="195"/>
      <x:c r="K45" s="195"/>
      <x:c r="L45" s="195"/>
      <x:c r="M45" s="195"/>
      <x:c r="N45" s="195"/>
      <x:c r="O45" s="195"/>
      <x:c r="P45" s="195"/>
      <x:c r="Q45" s="195"/>
      <x:c r="R45" s="195"/>
      <x:c r="S45" s="195"/>
      <x:c r="T45" s="195"/>
      <x:c r="U45" s="195"/>
      <x:c r="V45" s="195"/>
      <x:c r="W45" s="195"/>
      <x:c r="X45" s="195"/>
      <x:c r="Y45" s="195"/>
      <x:c r="Z45" s="195"/>
    </x:row>
    <x:row r="46">
      <x:c r="A46" s="195"/>
      <x:c r="B46" s="195"/>
      <x:c r="C46" s="195"/>
      <x:c r="D46" s="195"/>
      <x:c r="E46" s="195"/>
      <x:c r="F46" s="195"/>
      <x:c r="G46" s="195"/>
      <x:c r="H46" s="195"/>
      <x:c r="I46" s="195"/>
      <x:c r="J46" s="195"/>
      <x:c r="K46" s="195"/>
      <x:c r="L46" s="195"/>
      <x:c r="M46" s="195"/>
      <x:c r="N46" s="195"/>
      <x:c r="O46" s="195"/>
      <x:c r="P46" s="195"/>
      <x:c r="Q46" s="195"/>
      <x:c r="R46" s="195"/>
      <x:c r="S46" s="195"/>
      <x:c r="T46" s="195"/>
      <x:c r="U46" s="195"/>
      <x:c r="V46" s="195"/>
      <x:c r="W46" s="195"/>
      <x:c r="X46" s="195"/>
      <x:c r="Y46" s="195"/>
      <x:c r="Z46" s="195"/>
    </x:row>
    <x:row r="47">
      <x:c r="A47" s="195"/>
      <x:c r="B47" s="195"/>
      <x:c r="C47" s="195"/>
      <x:c r="D47" s="195"/>
      <x:c r="E47" s="195"/>
      <x:c r="F47" s="195"/>
      <x:c r="G47" s="195"/>
      <x:c r="H47" s="195"/>
      <x:c r="I47" s="195"/>
      <x:c r="J47" s="195"/>
      <x:c r="K47" s="195"/>
      <x:c r="L47" s="195"/>
      <x:c r="M47" s="195"/>
      <x:c r="N47" s="195"/>
      <x:c r="O47" s="195"/>
      <x:c r="P47" s="195"/>
      <x:c r="Q47" s="195"/>
      <x:c r="R47" s="195"/>
      <x:c r="S47" s="195"/>
      <x:c r="T47" s="195"/>
      <x:c r="U47" s="195"/>
      <x:c r="V47" s="195"/>
      <x:c r="W47" s="195"/>
      <x:c r="X47" s="195"/>
      <x:c r="Y47" s="195"/>
      <x:c r="Z47" s="195"/>
    </x:row>
    <x:row r="48">
      <x:c r="A48" s="195"/>
      <x:c r="B48" s="195"/>
      <x:c r="C48" s="195"/>
      <x:c r="D48" s="195"/>
      <x:c r="E48" s="195"/>
      <x:c r="F48" s="195"/>
      <x:c r="G48" s="195"/>
      <x:c r="H48" s="195"/>
      <x:c r="I48" s="195"/>
      <x:c r="J48" s="195"/>
      <x:c r="K48" s="195"/>
      <x:c r="L48" s="195"/>
      <x:c r="M48" s="195"/>
      <x:c r="N48" s="195"/>
      <x:c r="O48" s="195"/>
      <x:c r="P48" s="195"/>
      <x:c r="Q48" s="195"/>
      <x:c r="R48" s="195"/>
      <x:c r="S48" s="195"/>
      <x:c r="T48" s="195"/>
      <x:c r="U48" s="195"/>
      <x:c r="V48" s="195"/>
      <x:c r="W48" s="195"/>
      <x:c r="X48" s="195"/>
      <x:c r="Y48" s="195"/>
      <x:c r="Z48" s="195"/>
    </x:row>
    <x:row r="49">
      <x:c r="A49" s="195"/>
      <x:c r="B49" s="195"/>
      <x:c r="C49" s="195"/>
      <x:c r="D49" s="195"/>
      <x:c r="E49" s="195"/>
      <x:c r="F49" s="195"/>
      <x:c r="G49" s="195"/>
      <x:c r="H49" s="195"/>
      <x:c r="I49" s="195"/>
      <x:c r="J49" s="195"/>
      <x:c r="K49" s="195"/>
      <x:c r="L49" s="195"/>
      <x:c r="M49" s="195"/>
      <x:c r="N49" s="195"/>
      <x:c r="O49" s="195"/>
      <x:c r="P49" s="195"/>
      <x:c r="Q49" s="195"/>
      <x:c r="R49" s="195"/>
      <x:c r="S49" s="195"/>
      <x:c r="T49" s="195"/>
      <x:c r="U49" s="195"/>
      <x:c r="V49" s="195"/>
      <x:c r="W49" s="195"/>
      <x:c r="X49" s="195"/>
      <x:c r="Y49" s="195"/>
      <x:c r="Z49" s="195"/>
    </x:row>
    <x:row r="50">
      <x:c r="A50" s="195"/>
      <x:c r="B50" s="195"/>
      <x:c r="C50" s="195"/>
      <x:c r="D50" s="195"/>
      <x:c r="E50" s="195"/>
      <x:c r="F50" s="195"/>
      <x:c r="G50" s="195"/>
      <x:c r="H50" s="195"/>
      <x:c r="I50" s="195"/>
      <x:c r="J50" s="195"/>
      <x:c r="K50" s="195"/>
      <x:c r="L50" s="195"/>
      <x:c r="M50" s="195"/>
      <x:c r="N50" s="195"/>
      <x:c r="O50" s="195"/>
      <x:c r="P50" s="195"/>
      <x:c r="Q50" s="195"/>
      <x:c r="R50" s="195"/>
      <x:c r="S50" s="195"/>
      <x:c r="T50" s="195"/>
      <x:c r="U50" s="195"/>
      <x:c r="V50" s="195"/>
      <x:c r="W50" s="195"/>
      <x:c r="X50" s="195"/>
      <x:c r="Y50" s="195"/>
      <x:c r="Z50" s="195"/>
    </x:row>
    <x:row r="51">
      <x:c r="A51" s="195"/>
      <x:c r="B51" s="195"/>
      <x:c r="C51" s="195"/>
      <x:c r="D51" s="195"/>
      <x:c r="E51" s="195"/>
      <x:c r="F51" s="195"/>
      <x:c r="G51" s="195"/>
      <x:c r="H51" s="195"/>
      <x:c r="I51" s="195"/>
      <x:c r="J51" s="195"/>
      <x:c r="K51" s="195"/>
      <x:c r="L51" s="195"/>
      <x:c r="M51" s="195"/>
      <x:c r="N51" s="195"/>
      <x:c r="O51" s="195"/>
      <x:c r="P51" s="195"/>
      <x:c r="Q51" s="195"/>
      <x:c r="R51" s="195"/>
      <x:c r="S51" s="195"/>
      <x:c r="T51" s="195"/>
      <x:c r="U51" s="195"/>
      <x:c r="V51" s="195"/>
      <x:c r="W51" s="195"/>
      <x:c r="X51" s="195"/>
      <x:c r="Y51" s="195"/>
      <x:c r="Z51" s="195"/>
    </x:row>
    <x:row r="52">
      <x:c r="A52" s="195"/>
      <x:c r="B52" s="195"/>
      <x:c r="C52" s="195"/>
      <x:c r="D52" s="195"/>
      <x:c r="E52" s="195"/>
      <x:c r="F52" s="195"/>
      <x:c r="G52" s="195"/>
      <x:c r="H52" s="195"/>
      <x:c r="I52" s="195"/>
      <x:c r="J52" s="195"/>
      <x:c r="K52" s="195"/>
      <x:c r="L52" s="195"/>
      <x:c r="M52" s="195"/>
      <x:c r="N52" s="195"/>
      <x:c r="O52" s="195"/>
      <x:c r="P52" s="195"/>
      <x:c r="Q52" s="195"/>
      <x:c r="R52" s="195"/>
      <x:c r="S52" s="195"/>
      <x:c r="T52" s="195"/>
      <x:c r="U52" s="195"/>
      <x:c r="V52" s="195"/>
      <x:c r="W52" s="195"/>
      <x:c r="X52" s="195"/>
      <x:c r="Y52" s="195"/>
      <x:c r="Z52" s="195"/>
    </x:row>
    <x:row r="53">
      <x:c r="A53" s="195"/>
      <x:c r="B53" s="195"/>
      <x:c r="C53" s="195"/>
      <x:c r="D53" s="195"/>
      <x:c r="E53" s="195"/>
      <x:c r="F53" s="195"/>
      <x:c r="G53" s="195"/>
      <x:c r="H53" s="195"/>
      <x:c r="I53" s="195"/>
      <x:c r="J53" s="195"/>
      <x:c r="K53" s="195"/>
      <x:c r="L53" s="195"/>
      <x:c r="M53" s="195"/>
      <x:c r="N53" s="195"/>
      <x:c r="O53" s="195"/>
      <x:c r="P53" s="195"/>
      <x:c r="Q53" s="195"/>
      <x:c r="R53" s="195"/>
      <x:c r="S53" s="195"/>
      <x:c r="T53" s="195"/>
      <x:c r="U53" s="195"/>
      <x:c r="V53" s="195"/>
      <x:c r="W53" s="195"/>
      <x:c r="X53" s="195"/>
      <x:c r="Y53" s="195"/>
      <x:c r="Z53" s="195"/>
    </x:row>
    <x:row r="54">
      <x:c r="A54" s="195"/>
      <x:c r="B54" s="195"/>
      <x:c r="C54" s="195"/>
      <x:c r="D54" s="195"/>
      <x:c r="E54" s="195"/>
      <x:c r="F54" s="195"/>
      <x:c r="G54" s="195"/>
      <x:c r="H54" s="195"/>
      <x:c r="I54" s="195"/>
      <x:c r="J54" s="195"/>
      <x:c r="K54" s="195"/>
      <x:c r="L54" s="195"/>
      <x:c r="M54" s="195"/>
      <x:c r="N54" s="195"/>
      <x:c r="O54" s="195"/>
      <x:c r="P54" s="195"/>
      <x:c r="Q54" s="195"/>
      <x:c r="R54" s="195"/>
      <x:c r="S54" s="195"/>
      <x:c r="T54" s="195"/>
      <x:c r="U54" s="195"/>
      <x:c r="V54" s="195"/>
      <x:c r="W54" s="195"/>
      <x:c r="X54" s="195"/>
      <x:c r="Y54" s="195"/>
      <x:c r="Z54" s="195"/>
    </x:row>
    <x:row r="55">
      <x:c r="A55" s="195"/>
      <x:c r="B55" s="195"/>
      <x:c r="C55" s="195"/>
      <x:c r="D55" s="195"/>
      <x:c r="E55" s="195"/>
      <x:c r="F55" s="195"/>
      <x:c r="G55" s="195"/>
      <x:c r="H55" s="195"/>
      <x:c r="I55" s="195"/>
      <x:c r="J55" s="195"/>
      <x:c r="K55" s="195"/>
      <x:c r="L55" s="195"/>
      <x:c r="M55" s="195"/>
      <x:c r="N55" s="195"/>
      <x:c r="O55" s="195"/>
      <x:c r="P55" s="195"/>
      <x:c r="Q55" s="195"/>
      <x:c r="R55" s="195"/>
      <x:c r="S55" s="195"/>
      <x:c r="T55" s="195"/>
      <x:c r="U55" s="195"/>
      <x:c r="V55" s="195"/>
      <x:c r="W55" s="195"/>
      <x:c r="X55" s="195"/>
      <x:c r="Y55" s="195"/>
      <x:c r="Z55" s="195"/>
    </x:row>
    <x:row r="56">
      <x:c r="A56" s="195"/>
      <x:c r="B56" s="195"/>
      <x:c r="C56" s="195"/>
      <x:c r="D56" s="195"/>
      <x:c r="E56" s="195"/>
      <x:c r="F56" s="195"/>
      <x:c r="G56" s="195"/>
      <x:c r="H56" s="195"/>
      <x:c r="I56" s="195"/>
      <x:c r="J56" s="195"/>
      <x:c r="K56" s="195"/>
      <x:c r="L56" s="195"/>
      <x:c r="M56" s="195"/>
      <x:c r="N56" s="195"/>
      <x:c r="O56" s="195"/>
      <x:c r="P56" s="195"/>
      <x:c r="Q56" s="195"/>
      <x:c r="R56" s="195"/>
      <x:c r="S56" s="195"/>
      <x:c r="T56" s="195"/>
      <x:c r="U56" s="195"/>
      <x:c r="V56" s="195"/>
      <x:c r="W56" s="195"/>
      <x:c r="X56" s="195"/>
      <x:c r="Y56" s="195"/>
      <x:c r="Z56" s="195"/>
    </x:row>
    <x:row r="57">
      <x:c r="A57" s="195"/>
      <x:c r="B57" s="195"/>
      <x:c r="C57" s="195"/>
      <x:c r="D57" s="195"/>
      <x:c r="E57" s="195"/>
      <x:c r="F57" s="195"/>
      <x:c r="G57" s="195"/>
      <x:c r="H57" s="195"/>
      <x:c r="I57" s="195"/>
      <x:c r="J57" s="195"/>
      <x:c r="K57" s="195"/>
      <x:c r="L57" s="195"/>
      <x:c r="M57" s="195"/>
      <x:c r="N57" s="195"/>
      <x:c r="O57" s="195"/>
      <x:c r="P57" s="195"/>
      <x:c r="Q57" s="195"/>
      <x:c r="R57" s="195"/>
      <x:c r="S57" s="195"/>
      <x:c r="T57" s="195"/>
      <x:c r="U57" s="195"/>
      <x:c r="V57" s="195"/>
      <x:c r="W57" s="195"/>
      <x:c r="X57" s="195"/>
      <x:c r="Y57" s="195"/>
      <x:c r="Z57" s="195"/>
    </x:row>
    <x:row r="58">
      <x:c r="A58" s="195"/>
      <x:c r="B58" s="195"/>
      <x:c r="C58" s="195"/>
      <x:c r="D58" s="195"/>
      <x:c r="E58" s="195"/>
      <x:c r="F58" s="195"/>
      <x:c r="G58" s="195"/>
      <x:c r="H58" s="195"/>
      <x:c r="I58" s="195"/>
      <x:c r="J58" s="195"/>
      <x:c r="K58" s="195"/>
      <x:c r="L58" s="195"/>
      <x:c r="M58" s="195"/>
      <x:c r="N58" s="195"/>
      <x:c r="O58" s="195"/>
      <x:c r="P58" s="195"/>
      <x:c r="Q58" s="195"/>
      <x:c r="R58" s="195"/>
      <x:c r="S58" s="195"/>
      <x:c r="T58" s="195"/>
      <x:c r="U58" s="195"/>
      <x:c r="V58" s="195"/>
      <x:c r="W58" s="195"/>
      <x:c r="X58" s="195"/>
      <x:c r="Y58" s="195"/>
      <x:c r="Z58" s="195"/>
    </x:row>
    <x:row r="59">
      <x:c r="A59" s="195"/>
      <x:c r="B59" s="195"/>
      <x:c r="C59" s="195"/>
      <x:c r="D59" s="195"/>
      <x:c r="E59" s="195"/>
      <x:c r="F59" s="195"/>
      <x:c r="G59" s="195"/>
      <x:c r="H59" s="195"/>
      <x:c r="I59" s="195"/>
      <x:c r="J59" s="195"/>
      <x:c r="K59" s="195"/>
      <x:c r="L59" s="195"/>
      <x:c r="M59" s="195"/>
      <x:c r="N59" s="195"/>
      <x:c r="O59" s="195"/>
      <x:c r="P59" s="195"/>
      <x:c r="Q59" s="195"/>
      <x:c r="R59" s="195"/>
      <x:c r="S59" s="195"/>
      <x:c r="T59" s="195"/>
      <x:c r="U59" s="195"/>
      <x:c r="V59" s="195"/>
      <x:c r="W59" s="195"/>
      <x:c r="X59" s="195"/>
      <x:c r="Y59" s="195"/>
      <x:c r="Z59" s="195"/>
    </x:row>
    <x:row r="60">
      <x:c r="A60" s="195"/>
      <x:c r="B60" s="195"/>
      <x:c r="C60" s="195"/>
      <x:c r="D60" s="195"/>
      <x:c r="E60" s="195"/>
      <x:c r="F60" s="195"/>
      <x:c r="G60" s="195"/>
      <x:c r="H60" s="195"/>
      <x:c r="I60" s="195"/>
      <x:c r="J60" s="195"/>
      <x:c r="K60" s="195"/>
      <x:c r="L60" s="195"/>
      <x:c r="M60" s="195"/>
      <x:c r="N60" s="195"/>
      <x:c r="O60" s="195"/>
      <x:c r="P60" s="195"/>
      <x:c r="Q60" s="195"/>
      <x:c r="R60" s="195"/>
      <x:c r="S60" s="195"/>
      <x:c r="T60" s="195"/>
      <x:c r="U60" s="195"/>
      <x:c r="V60" s="195"/>
      <x:c r="W60" s="195"/>
      <x:c r="X60" s="195"/>
      <x:c r="Y60" s="195"/>
      <x:c r="Z60" s="195"/>
    </x:row>
    <x:row r="61">
      <x:c r="A61" s="195"/>
      <x:c r="B61" s="195"/>
      <x:c r="C61" s="195"/>
      <x:c r="D61" s="195"/>
      <x:c r="E61" s="195"/>
      <x:c r="F61" s="195"/>
      <x:c r="G61" s="195"/>
      <x:c r="H61" s="195"/>
      <x:c r="I61" s="195"/>
      <x:c r="J61" s="195"/>
      <x:c r="K61" s="195"/>
      <x:c r="L61" s="195"/>
      <x:c r="M61" s="195"/>
      <x:c r="N61" s="195"/>
      <x:c r="O61" s="195"/>
      <x:c r="P61" s="195"/>
      <x:c r="Q61" s="195"/>
      <x:c r="R61" s="195"/>
      <x:c r="S61" s="195"/>
      <x:c r="T61" s="195"/>
      <x:c r="U61" s="195"/>
      <x:c r="V61" s="195"/>
      <x:c r="W61" s="195"/>
      <x:c r="X61" s="195"/>
      <x:c r="Y61" s="195"/>
      <x:c r="Z61" s="195"/>
    </x:row>
    <x:row r="62">
      <x:c r="A62" s="195"/>
      <x:c r="B62" s="195"/>
      <x:c r="C62" s="195"/>
      <x:c r="D62" s="195"/>
      <x:c r="E62" s="195"/>
      <x:c r="F62" s="195"/>
      <x:c r="G62" s="195"/>
      <x:c r="H62" s="195"/>
      <x:c r="I62" s="195"/>
      <x:c r="J62" s="195"/>
      <x:c r="K62" s="195"/>
      <x:c r="L62" s="195"/>
      <x:c r="M62" s="195"/>
      <x:c r="N62" s="195"/>
      <x:c r="O62" s="195"/>
      <x:c r="P62" s="195"/>
      <x:c r="Q62" s="195"/>
      <x:c r="R62" s="195"/>
      <x:c r="S62" s="195"/>
      <x:c r="T62" s="195"/>
      <x:c r="U62" s="195"/>
      <x:c r="V62" s="195"/>
      <x:c r="W62" s="195"/>
      <x:c r="X62" s="195"/>
      <x:c r="Y62" s="195"/>
      <x:c r="Z62" s="195"/>
    </x:row>
    <x:row r="63">
      <x:c r="A63" s="195"/>
      <x:c r="B63" s="195"/>
      <x:c r="C63" s="195"/>
      <x:c r="D63" s="195"/>
      <x:c r="E63" s="195"/>
      <x:c r="F63" s="195"/>
      <x:c r="G63" s="195"/>
      <x:c r="H63" s="195"/>
      <x:c r="I63" s="195"/>
      <x:c r="J63" s="195"/>
      <x:c r="K63" s="195"/>
      <x:c r="L63" s="195"/>
      <x:c r="M63" s="195"/>
      <x:c r="N63" s="195"/>
      <x:c r="O63" s="195"/>
      <x:c r="P63" s="195"/>
      <x:c r="Q63" s="195"/>
      <x:c r="R63" s="195"/>
      <x:c r="S63" s="195"/>
      <x:c r="T63" s="195"/>
      <x:c r="U63" s="195"/>
      <x:c r="V63" s="195"/>
      <x:c r="W63" s="195"/>
      <x:c r="X63" s="195"/>
      <x:c r="Y63" s="195"/>
      <x:c r="Z63" s="195"/>
    </x:row>
    <x:row r="64">
      <x:c r="A64" s="195"/>
      <x:c r="B64" s="195"/>
      <x:c r="C64" s="195"/>
      <x:c r="D64" s="195"/>
      <x:c r="E64" s="195"/>
      <x:c r="F64" s="195"/>
      <x:c r="G64" s="195"/>
      <x:c r="H64" s="195"/>
      <x:c r="I64" s="195"/>
      <x:c r="J64" s="195"/>
      <x:c r="K64" s="195"/>
      <x:c r="L64" s="195"/>
      <x:c r="M64" s="195"/>
      <x:c r="N64" s="195"/>
      <x:c r="O64" s="195"/>
      <x:c r="P64" s="195"/>
      <x:c r="Q64" s="195"/>
      <x:c r="R64" s="195"/>
      <x:c r="S64" s="195"/>
      <x:c r="T64" s="195"/>
      <x:c r="U64" s="195"/>
      <x:c r="V64" s="195"/>
      <x:c r="W64" s="195"/>
      <x:c r="X64" s="195"/>
      <x:c r="Y64" s="195"/>
      <x:c r="Z64" s="195"/>
    </x:row>
    <x:row r="65">
      <x:c r="A65" s="195"/>
      <x:c r="B65" s="195"/>
      <x:c r="C65" s="195"/>
      <x:c r="D65" s="195"/>
      <x:c r="E65" s="195"/>
      <x:c r="F65" s="195"/>
      <x:c r="G65" s="195"/>
      <x:c r="H65" s="195"/>
      <x:c r="I65" s="195"/>
      <x:c r="J65" s="195"/>
      <x:c r="K65" s="195"/>
      <x:c r="L65" s="195"/>
      <x:c r="M65" s="195"/>
      <x:c r="N65" s="195"/>
      <x:c r="O65" s="195"/>
      <x:c r="P65" s="195"/>
      <x:c r="Q65" s="195"/>
      <x:c r="R65" s="195"/>
      <x:c r="S65" s="195"/>
      <x:c r="T65" s="195"/>
      <x:c r="U65" s="195"/>
      <x:c r="V65" s="195"/>
      <x:c r="W65" s="195"/>
      <x:c r="X65" s="195"/>
      <x:c r="Y65" s="195"/>
      <x:c r="Z65" s="195"/>
    </x:row>
    <x:row r="66">
      <x:c r="A66" s="195"/>
      <x:c r="B66" s="195"/>
      <x:c r="C66" s="195"/>
      <x:c r="D66" s="195"/>
      <x:c r="E66" s="195"/>
      <x:c r="F66" s="195"/>
      <x:c r="G66" s="195"/>
      <x:c r="H66" s="195"/>
      <x:c r="I66" s="195"/>
      <x:c r="J66" s="195"/>
      <x:c r="K66" s="195"/>
      <x:c r="L66" s="195"/>
      <x:c r="M66" s="195"/>
      <x:c r="N66" s="195"/>
      <x:c r="O66" s="195"/>
      <x:c r="P66" s="195"/>
      <x:c r="Q66" s="195"/>
      <x:c r="R66" s="195"/>
      <x:c r="S66" s="195"/>
      <x:c r="T66" s="195"/>
      <x:c r="U66" s="195"/>
      <x:c r="V66" s="195"/>
      <x:c r="W66" s="195"/>
      <x:c r="X66" s="195"/>
      <x:c r="Y66" s="195"/>
      <x:c r="Z66" s="195"/>
    </x:row>
    <x:row r="67">
      <x:c r="A67" s="195"/>
      <x:c r="B67" s="195"/>
      <x:c r="C67" s="195"/>
      <x:c r="D67" s="195"/>
      <x:c r="E67" s="195"/>
      <x:c r="F67" s="195"/>
      <x:c r="G67" s="195"/>
      <x:c r="H67" s="195"/>
      <x:c r="I67" s="195"/>
      <x:c r="J67" s="195"/>
      <x:c r="K67" s="195"/>
      <x:c r="L67" s="195"/>
      <x:c r="M67" s="195"/>
      <x:c r="N67" s="195"/>
      <x:c r="O67" s="195"/>
      <x:c r="P67" s="195"/>
      <x:c r="Q67" s="195"/>
      <x:c r="R67" s="195"/>
      <x:c r="S67" s="195"/>
      <x:c r="T67" s="195"/>
      <x:c r="U67" s="195"/>
      <x:c r="V67" s="195"/>
      <x:c r="W67" s="195"/>
      <x:c r="X67" s="195"/>
      <x:c r="Y67" s="195"/>
      <x:c r="Z67" s="195"/>
    </x:row>
    <x:row r="68">
      <x:c r="A68" s="195"/>
      <x:c r="B68" s="195"/>
      <x:c r="C68" s="195"/>
      <x:c r="D68" s="195"/>
      <x:c r="E68" s="195"/>
      <x:c r="F68" s="195"/>
      <x:c r="G68" s="195"/>
      <x:c r="H68" s="195"/>
      <x:c r="I68" s="195"/>
      <x:c r="J68" s="195"/>
      <x:c r="K68" s="195"/>
      <x:c r="L68" s="195"/>
      <x:c r="M68" s="195"/>
      <x:c r="N68" s="195"/>
      <x:c r="O68" s="195"/>
      <x:c r="P68" s="195"/>
      <x:c r="Q68" s="195"/>
      <x:c r="R68" s="195"/>
      <x:c r="S68" s="195"/>
      <x:c r="T68" s="195"/>
      <x:c r="U68" s="195"/>
      <x:c r="V68" s="195"/>
      <x:c r="W68" s="195"/>
      <x:c r="X68" s="195"/>
      <x:c r="Y68" s="195"/>
      <x:c r="Z68" s="195"/>
    </x:row>
    <x:row r="69">
      <x:c r="A69" s="195"/>
      <x:c r="B69" s="195"/>
      <x:c r="C69" s="195"/>
      <x:c r="D69" s="195"/>
      <x:c r="E69" s="195"/>
      <x:c r="F69" s="195"/>
      <x:c r="G69" s="195"/>
      <x:c r="H69" s="195"/>
      <x:c r="I69" s="195"/>
      <x:c r="J69" s="195"/>
      <x:c r="K69" s="195"/>
      <x:c r="L69" s="195"/>
      <x:c r="M69" s="195"/>
      <x:c r="N69" s="195"/>
      <x:c r="O69" s="195"/>
      <x:c r="P69" s="195"/>
      <x:c r="Q69" s="195"/>
      <x:c r="R69" s="195"/>
      <x:c r="S69" s="195"/>
      <x:c r="T69" s="195"/>
      <x:c r="U69" s="195"/>
      <x:c r="V69" s="195"/>
      <x:c r="W69" s="195"/>
      <x:c r="X69" s="195"/>
      <x:c r="Y69" s="195"/>
      <x:c r="Z69" s="195"/>
    </x:row>
    <x:row r="70">
      <x:c r="A70" s="195"/>
      <x:c r="B70" s="195"/>
      <x:c r="C70" s="195"/>
      <x:c r="D70" s="195"/>
      <x:c r="E70" s="195"/>
      <x:c r="F70" s="195"/>
      <x:c r="G70" s="195"/>
      <x:c r="H70" s="195"/>
      <x:c r="I70" s="195"/>
      <x:c r="J70" s="195"/>
      <x:c r="K70" s="195"/>
      <x:c r="L70" s="195"/>
      <x:c r="M70" s="195"/>
      <x:c r="N70" s="195"/>
      <x:c r="O70" s="195"/>
      <x:c r="P70" s="195"/>
      <x:c r="Q70" s="195"/>
      <x:c r="R70" s="195"/>
      <x:c r="S70" s="195"/>
      <x:c r="T70" s="195"/>
      <x:c r="U70" s="195"/>
      <x:c r="V70" s="195"/>
      <x:c r="W70" s="195"/>
      <x:c r="X70" s="195"/>
      <x:c r="Y70" s="195"/>
      <x:c r="Z70" s="195"/>
    </x:row>
    <x:row r="71">
      <x:c r="A71" s="195"/>
      <x:c r="B71" s="195"/>
      <x:c r="C71" s="195"/>
      <x:c r="D71" s="195"/>
      <x:c r="E71" s="195"/>
      <x:c r="F71" s="195"/>
      <x:c r="G71" s="195"/>
      <x:c r="H71" s="195"/>
      <x:c r="I71" s="195"/>
      <x:c r="J71" s="195"/>
      <x:c r="K71" s="195"/>
      <x:c r="L71" s="195"/>
      <x:c r="M71" s="195"/>
      <x:c r="N71" s="195"/>
      <x:c r="O71" s="195"/>
      <x:c r="P71" s="195"/>
      <x:c r="Q71" s="195"/>
      <x:c r="R71" s="195"/>
      <x:c r="S71" s="195"/>
      <x:c r="T71" s="195"/>
      <x:c r="U71" s="195"/>
      <x:c r="V71" s="195"/>
      <x:c r="W71" s="195"/>
      <x:c r="X71" s="195"/>
      <x:c r="Y71" s="195"/>
      <x:c r="Z71" s="195"/>
    </x:row>
    <x:row r="72">
      <x:c r="A72" s="195"/>
      <x:c r="B72" s="195"/>
      <x:c r="C72" s="195"/>
      <x:c r="D72" s="195"/>
      <x:c r="E72" s="195"/>
      <x:c r="F72" s="195"/>
      <x:c r="G72" s="195"/>
      <x:c r="H72" s="195"/>
      <x:c r="I72" s="195"/>
      <x:c r="J72" s="195"/>
      <x:c r="K72" s="195"/>
      <x:c r="L72" s="195"/>
      <x:c r="M72" s="195"/>
      <x:c r="N72" s="195"/>
      <x:c r="O72" s="195"/>
      <x:c r="P72" s="195"/>
      <x:c r="Q72" s="195"/>
      <x:c r="R72" s="195"/>
      <x:c r="S72" s="195"/>
      <x:c r="T72" s="195"/>
      <x:c r="U72" s="195"/>
      <x:c r="V72" s="195"/>
      <x:c r="W72" s="195"/>
      <x:c r="X72" s="195"/>
      <x:c r="Y72" s="195"/>
      <x:c r="Z72" s="195"/>
    </x:row>
    <x:row r="73">
      <x:c r="A73" s="195"/>
      <x:c r="B73" s="195"/>
      <x:c r="C73" s="195"/>
      <x:c r="D73" s="195"/>
      <x:c r="E73" s="195"/>
      <x:c r="F73" s="195"/>
      <x:c r="G73" s="195"/>
      <x:c r="H73" s="195"/>
      <x:c r="I73" s="195"/>
      <x:c r="J73" s="195"/>
      <x:c r="K73" s="195"/>
      <x:c r="L73" s="195"/>
      <x:c r="M73" s="195"/>
      <x:c r="N73" s="195"/>
      <x:c r="O73" s="195"/>
      <x:c r="P73" s="195"/>
      <x:c r="Q73" s="195"/>
      <x:c r="R73" s="195"/>
      <x:c r="S73" s="195"/>
      <x:c r="T73" s="195"/>
      <x:c r="U73" s="195"/>
      <x:c r="V73" s="195"/>
      <x:c r="W73" s="195"/>
      <x:c r="X73" s="195"/>
      <x:c r="Y73" s="195"/>
      <x:c r="Z73" s="195"/>
    </x:row>
    <x:row r="74">
      <x:c r="A74" s="195"/>
      <x:c r="B74" s="195"/>
      <x:c r="C74" s="195"/>
      <x:c r="D74" s="195"/>
      <x:c r="E74" s="195"/>
      <x:c r="F74" s="195"/>
      <x:c r="G74" s="195"/>
      <x:c r="H74" s="195"/>
      <x:c r="I74" s="195"/>
      <x:c r="J74" s="195"/>
      <x:c r="K74" s="195"/>
      <x:c r="L74" s="195"/>
      <x:c r="M74" s="195"/>
      <x:c r="N74" s="195"/>
      <x:c r="O74" s="195"/>
      <x:c r="P74" s="195"/>
      <x:c r="Q74" s="195"/>
      <x:c r="R74" s="195"/>
      <x:c r="S74" s="195"/>
      <x:c r="T74" s="195"/>
      <x:c r="U74" s="195"/>
      <x:c r="V74" s="195"/>
      <x:c r="W74" s="195"/>
      <x:c r="X74" s="195"/>
      <x:c r="Y74" s="195"/>
      <x:c r="Z74" s="195"/>
    </x:row>
    <x:row r="75">
      <x:c r="A75" s="195"/>
      <x:c r="B75" s="195"/>
      <x:c r="C75" s="195"/>
      <x:c r="D75" s="195"/>
      <x:c r="E75" s="195"/>
      <x:c r="F75" s="195"/>
      <x:c r="G75" s="195"/>
      <x:c r="H75" s="195"/>
      <x:c r="I75" s="195"/>
      <x:c r="J75" s="195"/>
      <x:c r="K75" s="195"/>
      <x:c r="L75" s="195"/>
      <x:c r="M75" s="195"/>
      <x:c r="N75" s="195"/>
      <x:c r="O75" s="195"/>
      <x:c r="P75" s="195"/>
      <x:c r="Q75" s="195"/>
      <x:c r="R75" s="195"/>
      <x:c r="S75" s="195"/>
      <x:c r="T75" s="195"/>
      <x:c r="U75" s="195"/>
      <x:c r="V75" s="195"/>
      <x:c r="W75" s="195"/>
      <x:c r="X75" s="195"/>
      <x:c r="Y75" s="195"/>
      <x:c r="Z75" s="195"/>
    </x:row>
    <x:row r="76">
      <x:c r="A76" s="195"/>
      <x:c r="B76" s="195"/>
      <x:c r="C76" s="195"/>
      <x:c r="D76" s="195"/>
      <x:c r="E76" s="195"/>
      <x:c r="F76" s="195"/>
      <x:c r="G76" s="195"/>
      <x:c r="H76" s="195"/>
      <x:c r="I76" s="195"/>
      <x:c r="J76" s="195"/>
      <x:c r="K76" s="195"/>
      <x:c r="L76" s="195"/>
      <x:c r="M76" s="195"/>
      <x:c r="N76" s="195"/>
      <x:c r="O76" s="195"/>
      <x:c r="P76" s="195"/>
      <x:c r="Q76" s="195"/>
      <x:c r="R76" s="195"/>
      <x:c r="S76" s="195"/>
      <x:c r="T76" s="195"/>
      <x:c r="U76" s="195"/>
      <x:c r="V76" s="195"/>
      <x:c r="W76" s="195"/>
      <x:c r="X76" s="195"/>
      <x:c r="Y76" s="195"/>
      <x:c r="Z76" s="195"/>
    </x:row>
    <x:row r="77">
      <x:c r="A77" s="195"/>
      <x:c r="B77" s="195"/>
      <x:c r="C77" s="195"/>
      <x:c r="D77" s="195"/>
      <x:c r="E77" s="195"/>
      <x:c r="F77" s="195"/>
      <x:c r="G77" s="195"/>
      <x:c r="H77" s="195"/>
      <x:c r="I77" s="195"/>
      <x:c r="J77" s="195"/>
      <x:c r="K77" s="195"/>
      <x:c r="L77" s="195"/>
      <x:c r="M77" s="195"/>
      <x:c r="N77" s="195"/>
      <x:c r="O77" s="195"/>
      <x:c r="P77" s="195"/>
      <x:c r="Q77" s="195"/>
      <x:c r="R77" s="195"/>
      <x:c r="S77" s="195"/>
      <x:c r="T77" s="195"/>
      <x:c r="U77" s="195"/>
      <x:c r="V77" s="195"/>
      <x:c r="W77" s="195"/>
      <x:c r="X77" s="195"/>
      <x:c r="Y77" s="195"/>
      <x:c r="Z77" s="195"/>
    </x:row>
    <x:row r="78">
      <x:c r="A78" s="195"/>
      <x:c r="B78" s="195"/>
      <x:c r="C78" s="195"/>
      <x:c r="D78" s="195"/>
      <x:c r="E78" s="195"/>
      <x:c r="F78" s="195"/>
      <x:c r="G78" s="195"/>
      <x:c r="H78" s="195"/>
      <x:c r="I78" s="195"/>
      <x:c r="J78" s="195"/>
      <x:c r="K78" s="195"/>
      <x:c r="L78" s="195"/>
      <x:c r="M78" s="195"/>
      <x:c r="N78" s="195"/>
      <x:c r="O78" s="195"/>
      <x:c r="P78" s="195"/>
      <x:c r="Q78" s="195"/>
      <x:c r="R78" s="195"/>
      <x:c r="S78" s="195"/>
      <x:c r="T78" s="195"/>
      <x:c r="U78" s="195"/>
      <x:c r="V78" s="195"/>
      <x:c r="W78" s="195"/>
      <x:c r="X78" s="195"/>
      <x:c r="Y78" s="195"/>
      <x:c r="Z78" s="195"/>
    </x:row>
    <x:row r="79">
      <x:c r="A79" s="195"/>
      <x:c r="B79" s="195"/>
      <x:c r="C79" s="195"/>
      <x:c r="D79" s="195"/>
      <x:c r="E79" s="195"/>
      <x:c r="F79" s="195"/>
      <x:c r="G79" s="195"/>
      <x:c r="H79" s="195"/>
      <x:c r="I79" s="195"/>
      <x:c r="J79" s="195"/>
      <x:c r="K79" s="195"/>
      <x:c r="L79" s="195"/>
      <x:c r="M79" s="195"/>
      <x:c r="N79" s="195"/>
      <x:c r="O79" s="195"/>
      <x:c r="P79" s="195"/>
      <x:c r="Q79" s="195"/>
      <x:c r="R79" s="195"/>
      <x:c r="S79" s="195"/>
      <x:c r="T79" s="195"/>
      <x:c r="U79" s="195"/>
      <x:c r="V79" s="195"/>
      <x:c r="W79" s="195"/>
      <x:c r="X79" s="195"/>
      <x:c r="Y79" s="195"/>
      <x:c r="Z79" s="195"/>
    </x:row>
    <x:row r="80">
      <x:c r="A80" s="195"/>
      <x:c r="B80" s="195"/>
      <x:c r="C80" s="195"/>
      <x:c r="D80" s="195"/>
      <x:c r="E80" s="195"/>
      <x:c r="F80" s="195"/>
      <x:c r="G80" s="195"/>
      <x:c r="H80" s="195"/>
      <x:c r="I80" s="195"/>
      <x:c r="J80" s="195"/>
      <x:c r="K80" s="195"/>
      <x:c r="L80" s="195"/>
      <x:c r="M80" s="195"/>
      <x:c r="N80" s="195"/>
      <x:c r="O80" s="195"/>
      <x:c r="P80" s="195"/>
      <x:c r="Q80" s="195"/>
      <x:c r="R80" s="195"/>
      <x:c r="S80" s="195"/>
      <x:c r="T80" s="195"/>
      <x:c r="U80" s="195"/>
      <x:c r="V80" s="195"/>
      <x:c r="W80" s="195"/>
      <x:c r="X80" s="195"/>
      <x:c r="Y80" s="195"/>
      <x:c r="Z80" s="195"/>
    </x:row>
    <x:row r="81">
      <x:c r="A81" s="195"/>
      <x:c r="B81" s="195"/>
      <x:c r="C81" s="195"/>
      <x:c r="D81" s="195"/>
      <x:c r="E81" s="195"/>
      <x:c r="F81" s="195"/>
      <x:c r="G81" s="195"/>
      <x:c r="H81" s="195"/>
      <x:c r="I81" s="195"/>
      <x:c r="J81" s="195"/>
      <x:c r="K81" s="195"/>
      <x:c r="L81" s="195"/>
      <x:c r="M81" s="195"/>
      <x:c r="N81" s="195"/>
      <x:c r="O81" s="195"/>
      <x:c r="P81" s="195"/>
      <x:c r="Q81" s="195"/>
      <x:c r="R81" s="195"/>
      <x:c r="S81" s="195"/>
      <x:c r="T81" s="195"/>
      <x:c r="U81" s="195"/>
      <x:c r="V81" s="195"/>
      <x:c r="W81" s="195"/>
      <x:c r="X81" s="195"/>
      <x:c r="Y81" s="195"/>
      <x:c r="Z81" s="195"/>
    </x:row>
    <x:row r="82">
      <x:c r="A82" s="195"/>
      <x:c r="B82" s="195"/>
      <x:c r="C82" s="195"/>
      <x:c r="D82" s="195"/>
      <x:c r="E82" s="195"/>
      <x:c r="F82" s="195"/>
      <x:c r="G82" s="195"/>
      <x:c r="H82" s="195"/>
      <x:c r="I82" s="195"/>
      <x:c r="J82" s="195"/>
      <x:c r="K82" s="195"/>
      <x:c r="L82" s="195"/>
      <x:c r="M82" s="195"/>
      <x:c r="N82" s="195"/>
      <x:c r="O82" s="195"/>
      <x:c r="P82" s="195"/>
      <x:c r="Q82" s="195"/>
      <x:c r="R82" s="195"/>
      <x:c r="S82" s="195"/>
      <x:c r="T82" s="195"/>
      <x:c r="U82" s="195"/>
      <x:c r="V82" s="195"/>
      <x:c r="W82" s="195"/>
      <x:c r="X82" s="195"/>
      <x:c r="Y82" s="195"/>
      <x:c r="Z82" s="195"/>
    </x:row>
    <x:row r="83">
      <x:c r="A83" s="195"/>
      <x:c r="B83" s="195"/>
      <x:c r="C83" s="195"/>
      <x:c r="D83" s="195"/>
      <x:c r="E83" s="195"/>
      <x:c r="F83" s="195"/>
      <x:c r="G83" s="195"/>
      <x:c r="H83" s="195"/>
      <x:c r="I83" s="195"/>
      <x:c r="J83" s="195"/>
      <x:c r="K83" s="195"/>
      <x:c r="L83" s="195"/>
      <x:c r="M83" s="195"/>
      <x:c r="N83" s="195"/>
      <x:c r="O83" s="195"/>
      <x:c r="P83" s="195"/>
      <x:c r="Q83" s="195"/>
      <x:c r="R83" s="195"/>
      <x:c r="S83" s="195"/>
      <x:c r="T83" s="195"/>
      <x:c r="U83" s="195"/>
      <x:c r="V83" s="195"/>
      <x:c r="W83" s="195"/>
      <x:c r="X83" s="195"/>
      <x:c r="Y83" s="195"/>
      <x:c r="Z83" s="195"/>
    </x:row>
    <x:row r="84">
      <x:c r="A84" s="195"/>
      <x:c r="B84" s="195"/>
      <x:c r="C84" s="195"/>
      <x:c r="D84" s="195"/>
      <x:c r="E84" s="195"/>
      <x:c r="F84" s="195"/>
      <x:c r="G84" s="195"/>
      <x:c r="H84" s="195"/>
      <x:c r="I84" s="195"/>
      <x:c r="J84" s="195"/>
      <x:c r="K84" s="195"/>
      <x:c r="L84" s="195"/>
      <x:c r="M84" s="195"/>
      <x:c r="N84" s="195"/>
      <x:c r="O84" s="195"/>
      <x:c r="P84" s="195"/>
      <x:c r="Q84" s="195"/>
      <x:c r="R84" s="195"/>
      <x:c r="S84" s="195"/>
      <x:c r="T84" s="195"/>
      <x:c r="U84" s="195"/>
      <x:c r="V84" s="195"/>
      <x:c r="W84" s="195"/>
      <x:c r="X84" s="195"/>
      <x:c r="Y84" s="195"/>
      <x:c r="Z84" s="195"/>
    </x:row>
    <x:row r="85">
      <x:c r="A85" s="195"/>
      <x:c r="B85" s="195"/>
      <x:c r="C85" s="195"/>
      <x:c r="D85" s="195"/>
      <x:c r="E85" s="195"/>
      <x:c r="F85" s="195"/>
      <x:c r="G85" s="195"/>
      <x:c r="H85" s="195"/>
      <x:c r="I85" s="195"/>
      <x:c r="J85" s="195"/>
      <x:c r="K85" s="195"/>
      <x:c r="L85" s="195"/>
      <x:c r="M85" s="195"/>
      <x:c r="N85" s="195"/>
      <x:c r="O85" s="195"/>
      <x:c r="P85" s="195"/>
      <x:c r="Q85" s="195"/>
      <x:c r="R85" s="195"/>
      <x:c r="S85" s="195"/>
      <x:c r="T85" s="195"/>
      <x:c r="U85" s="195"/>
      <x:c r="V85" s="195"/>
      <x:c r="W85" s="195"/>
      <x:c r="X85" s="195"/>
      <x:c r="Y85" s="195"/>
      <x:c r="Z85" s="195"/>
    </x:row>
    <x:row r="86">
      <x:c r="A86" s="195"/>
      <x:c r="B86" s="195"/>
      <x:c r="C86" s="195"/>
      <x:c r="D86" s="195"/>
      <x:c r="E86" s="195"/>
      <x:c r="F86" s="195"/>
      <x:c r="G86" s="195"/>
      <x:c r="H86" s="195"/>
      <x:c r="I86" s="195"/>
      <x:c r="J86" s="195"/>
      <x:c r="K86" s="195"/>
      <x:c r="L86" s="195"/>
      <x:c r="M86" s="195"/>
      <x:c r="N86" s="195"/>
      <x:c r="O86" s="195"/>
      <x:c r="P86" s="195"/>
      <x:c r="Q86" s="195"/>
      <x:c r="R86" s="195"/>
      <x:c r="S86" s="195"/>
      <x:c r="T86" s="195"/>
      <x:c r="U86" s="195"/>
      <x:c r="V86" s="195"/>
      <x:c r="W86" s="195"/>
      <x:c r="X86" s="195"/>
      <x:c r="Y86" s="195"/>
      <x:c r="Z86" s="195"/>
    </x:row>
    <x:row r="87">
      <x:c r="A87" s="195"/>
      <x:c r="B87" s="195"/>
      <x:c r="C87" s="195"/>
      <x:c r="D87" s="195"/>
      <x:c r="E87" s="195"/>
      <x:c r="F87" s="195"/>
      <x:c r="G87" s="195"/>
      <x:c r="H87" s="195"/>
      <x:c r="I87" s="195"/>
      <x:c r="J87" s="195"/>
      <x:c r="K87" s="195"/>
      <x:c r="L87" s="195"/>
      <x:c r="M87" s="195"/>
      <x:c r="N87" s="195"/>
      <x:c r="O87" s="195"/>
      <x:c r="P87" s="195"/>
      <x:c r="Q87" s="195"/>
      <x:c r="R87" s="195"/>
      <x:c r="S87" s="195"/>
      <x:c r="T87" s="195"/>
      <x:c r="U87" s="195"/>
      <x:c r="V87" s="195"/>
      <x:c r="W87" s="195"/>
      <x:c r="X87" s="195"/>
      <x:c r="Y87" s="195"/>
      <x:c r="Z87" s="195"/>
    </x:row>
    <x:row r="88">
      <x:c r="A88" s="195"/>
      <x:c r="B88" s="195"/>
      <x:c r="C88" s="195"/>
      <x:c r="D88" s="195"/>
      <x:c r="E88" s="195"/>
      <x:c r="F88" s="195"/>
      <x:c r="G88" s="195"/>
      <x:c r="H88" s="195"/>
      <x:c r="I88" s="195"/>
      <x:c r="J88" s="195"/>
      <x:c r="K88" s="195"/>
      <x:c r="L88" s="195"/>
      <x:c r="M88" s="195"/>
      <x:c r="N88" s="195"/>
      <x:c r="O88" s="195"/>
      <x:c r="P88" s="195"/>
      <x:c r="Q88" s="195"/>
      <x:c r="R88" s="195"/>
      <x:c r="S88" s="195"/>
      <x:c r="T88" s="195"/>
      <x:c r="U88" s="195"/>
      <x:c r="V88" s="195"/>
      <x:c r="W88" s="195"/>
      <x:c r="X88" s="195"/>
      <x:c r="Y88" s="195"/>
      <x:c r="Z88" s="195"/>
    </x:row>
    <x:row r="89">
      <x:c r="A89" s="195"/>
      <x:c r="B89" s="195"/>
      <x:c r="C89" s="195"/>
      <x:c r="D89" s="195"/>
      <x:c r="E89" s="195"/>
      <x:c r="F89" s="195"/>
      <x:c r="G89" s="195"/>
      <x:c r="H89" s="195"/>
      <x:c r="I89" s="195"/>
      <x:c r="J89" s="195"/>
      <x:c r="K89" s="195"/>
      <x:c r="L89" s="195"/>
      <x:c r="M89" s="195"/>
      <x:c r="N89" s="195"/>
      <x:c r="O89" s="195"/>
      <x:c r="P89" s="195"/>
      <x:c r="Q89" s="195"/>
      <x:c r="R89" s="195"/>
      <x:c r="S89" s="195"/>
      <x:c r="T89" s="195"/>
      <x:c r="U89" s="195"/>
      <x:c r="V89" s="195"/>
      <x:c r="W89" s="195"/>
      <x:c r="X89" s="195"/>
      <x:c r="Y89" s="195"/>
      <x:c r="Z89" s="195"/>
    </x:row>
    <x:row r="90">
      <x:c r="A90" s="195"/>
      <x:c r="B90" s="195"/>
      <x:c r="C90" s="195"/>
      <x:c r="D90" s="195"/>
      <x:c r="E90" s="195"/>
      <x:c r="F90" s="195"/>
      <x:c r="G90" s="195"/>
      <x:c r="H90" s="195"/>
      <x:c r="I90" s="195"/>
      <x:c r="J90" s="195"/>
      <x:c r="K90" s="195"/>
      <x:c r="L90" s="195"/>
      <x:c r="M90" s="195"/>
      <x:c r="N90" s="195"/>
      <x:c r="O90" s="195"/>
      <x:c r="P90" s="195"/>
      <x:c r="Q90" s="195"/>
      <x:c r="R90" s="195"/>
      <x:c r="S90" s="195"/>
      <x:c r="T90" s="195"/>
      <x:c r="U90" s="195"/>
      <x:c r="V90" s="195"/>
      <x:c r="W90" s="195"/>
      <x:c r="X90" s="195"/>
      <x:c r="Y90" s="195"/>
      <x:c r="Z90" s="195"/>
    </x:row>
    <x:row r="91">
      <x:c r="A91" s="195"/>
      <x:c r="B91" s="195"/>
      <x:c r="C91" s="195"/>
      <x:c r="D91" s="195"/>
      <x:c r="E91" s="195"/>
      <x:c r="F91" s="195"/>
      <x:c r="G91" s="195"/>
      <x:c r="H91" s="195"/>
      <x:c r="I91" s="195"/>
      <x:c r="J91" s="195"/>
      <x:c r="K91" s="195"/>
      <x:c r="L91" s="195"/>
      <x:c r="M91" s="195"/>
      <x:c r="N91" s="195"/>
      <x:c r="O91" s="195"/>
      <x:c r="P91" s="195"/>
      <x:c r="Q91" s="195"/>
      <x:c r="R91" s="195"/>
      <x:c r="S91" s="195"/>
      <x:c r="T91" s="195"/>
      <x:c r="U91" s="195"/>
      <x:c r="V91" s="195"/>
      <x:c r="W91" s="195"/>
      <x:c r="X91" s="195"/>
      <x:c r="Y91" s="195"/>
      <x:c r="Z91" s="195"/>
    </x:row>
    <x:row r="92">
      <x:c r="A92" s="195"/>
      <x:c r="B92" s="195"/>
      <x:c r="C92" s="195"/>
      <x:c r="D92" s="195"/>
      <x:c r="E92" s="195"/>
      <x:c r="F92" s="195"/>
      <x:c r="G92" s="195"/>
      <x:c r="H92" s="195"/>
      <x:c r="I92" s="195"/>
      <x:c r="J92" s="195"/>
      <x:c r="K92" s="195"/>
      <x:c r="L92" s="195"/>
      <x:c r="M92" s="195"/>
      <x:c r="N92" s="195"/>
      <x:c r="O92" s="195"/>
      <x:c r="P92" s="195"/>
      <x:c r="Q92" s="195"/>
      <x:c r="R92" s="195"/>
      <x:c r="S92" s="195"/>
      <x:c r="T92" s="195"/>
      <x:c r="U92" s="195"/>
      <x:c r="V92" s="195"/>
      <x:c r="W92" s="195"/>
      <x:c r="X92" s="195"/>
      <x:c r="Y92" s="195"/>
      <x:c r="Z92" s="195"/>
    </x:row>
    <x:row r="93">
      <x:c r="A93" s="195"/>
      <x:c r="B93" s="195"/>
      <x:c r="C93" s="195"/>
      <x:c r="D93" s="195"/>
      <x:c r="E93" s="195"/>
      <x:c r="F93" s="195"/>
      <x:c r="G93" s="195"/>
      <x:c r="H93" s="195"/>
      <x:c r="I93" s="195"/>
      <x:c r="J93" s="195"/>
      <x:c r="K93" s="195"/>
      <x:c r="L93" s="195"/>
      <x:c r="M93" s="195"/>
      <x:c r="N93" s="195"/>
      <x:c r="O93" s="195"/>
      <x:c r="P93" s="195"/>
      <x:c r="Q93" s="195"/>
      <x:c r="R93" s="195"/>
      <x:c r="S93" s="195"/>
      <x:c r="T93" s="195"/>
      <x:c r="U93" s="195"/>
      <x:c r="V93" s="195"/>
      <x:c r="W93" s="195"/>
      <x:c r="X93" s="195"/>
      <x:c r="Y93" s="195"/>
      <x:c r="Z93" s="195"/>
    </x:row>
    <x:row r="94">
      <x:c r="A94" s="195"/>
      <x:c r="B94" s="195"/>
      <x:c r="C94" s="195"/>
      <x:c r="D94" s="195"/>
      <x:c r="E94" s="195"/>
      <x:c r="F94" s="195"/>
      <x:c r="G94" s="195"/>
      <x:c r="H94" s="195"/>
      <x:c r="I94" s="195"/>
      <x:c r="J94" s="195"/>
      <x:c r="K94" s="195"/>
      <x:c r="L94" s="195"/>
      <x:c r="M94" s="195"/>
      <x:c r="N94" s="195"/>
      <x:c r="O94" s="195"/>
      <x:c r="P94" s="195"/>
      <x:c r="Q94" s="195"/>
      <x:c r="R94" s="195"/>
      <x:c r="S94" s="195"/>
      <x:c r="T94" s="195"/>
      <x:c r="U94" s="195"/>
      <x:c r="V94" s="195"/>
      <x:c r="W94" s="195"/>
      <x:c r="X94" s="195"/>
      <x:c r="Y94" s="195"/>
      <x:c r="Z94" s="195"/>
    </x:row>
    <x:row r="95">
      <x:c r="A95" s="195"/>
      <x:c r="B95" s="195"/>
      <x:c r="C95" s="195"/>
      <x:c r="D95" s="195"/>
      <x:c r="E95" s="195"/>
      <x:c r="F95" s="195"/>
      <x:c r="G95" s="195"/>
      <x:c r="H95" s="195"/>
      <x:c r="I95" s="195"/>
      <x:c r="J95" s="195"/>
      <x:c r="K95" s="195"/>
      <x:c r="L95" s="195"/>
      <x:c r="M95" s="195"/>
      <x:c r="N95" s="195"/>
      <x:c r="O95" s="195"/>
      <x:c r="P95" s="195"/>
      <x:c r="Q95" s="195"/>
      <x:c r="R95" s="195"/>
      <x:c r="S95" s="195"/>
      <x:c r="T95" s="195"/>
      <x:c r="U95" s="195"/>
      <x:c r="V95" s="195"/>
      <x:c r="W95" s="195"/>
      <x:c r="X95" s="195"/>
      <x:c r="Y95" s="195"/>
      <x:c r="Z95" s="195"/>
    </x:row>
    <x:row r="96">
      <x:c r="A96" s="195"/>
      <x:c r="B96" s="195"/>
      <x:c r="C96" s="195"/>
      <x:c r="D96" s="195"/>
      <x:c r="E96" s="195"/>
      <x:c r="F96" s="195"/>
      <x:c r="G96" s="195"/>
      <x:c r="H96" s="195"/>
      <x:c r="I96" s="195"/>
      <x:c r="J96" s="195"/>
      <x:c r="K96" s="195"/>
      <x:c r="L96" s="195"/>
      <x:c r="M96" s="195"/>
      <x:c r="N96" s="195"/>
      <x:c r="O96" s="195"/>
      <x:c r="P96" s="195"/>
      <x:c r="Q96" s="195"/>
      <x:c r="R96" s="195"/>
      <x:c r="S96" s="195"/>
      <x:c r="T96" s="195"/>
      <x:c r="U96" s="195"/>
      <x:c r="V96" s="195"/>
      <x:c r="W96" s="195"/>
      <x:c r="X96" s="195"/>
      <x:c r="Y96" s="195"/>
      <x:c r="Z96" s="195"/>
    </x:row>
    <x:row r="97">
      <x:c r="A97" s="195"/>
      <x:c r="B97" s="195"/>
      <x:c r="C97" s="195"/>
      <x:c r="D97" s="195"/>
      <x:c r="E97" s="195"/>
      <x:c r="F97" s="195"/>
      <x:c r="G97" s="195"/>
      <x:c r="H97" s="195"/>
      <x:c r="I97" s="195"/>
      <x:c r="J97" s="195"/>
      <x:c r="K97" s="195"/>
      <x:c r="L97" s="195"/>
      <x:c r="M97" s="195"/>
      <x:c r="N97" s="195"/>
      <x:c r="O97" s="195"/>
      <x:c r="P97" s="195"/>
      <x:c r="Q97" s="195"/>
      <x:c r="R97" s="195"/>
      <x:c r="S97" s="195"/>
      <x:c r="T97" s="195"/>
      <x:c r="U97" s="195"/>
      <x:c r="V97" s="195"/>
      <x:c r="W97" s="195"/>
      <x:c r="X97" s="195"/>
      <x:c r="Y97" s="195"/>
      <x:c r="Z97" s="195"/>
    </x:row>
    <x:row r="98">
      <x:c r="A98" s="195"/>
      <x:c r="B98" s="195"/>
      <x:c r="C98" s="195"/>
      <x:c r="D98" s="195"/>
      <x:c r="E98" s="195"/>
      <x:c r="F98" s="195"/>
      <x:c r="G98" s="195"/>
      <x:c r="H98" s="195"/>
      <x:c r="I98" s="195"/>
      <x:c r="J98" s="195"/>
      <x:c r="K98" s="195"/>
      <x:c r="L98" s="195"/>
      <x:c r="M98" s="195"/>
      <x:c r="N98" s="195"/>
      <x:c r="O98" s="195"/>
      <x:c r="P98" s="195"/>
      <x:c r="Q98" s="195"/>
      <x:c r="R98" s="195"/>
      <x:c r="S98" s="195"/>
      <x:c r="T98" s="195"/>
      <x:c r="U98" s="195"/>
      <x:c r="V98" s="195"/>
      <x:c r="W98" s="195"/>
      <x:c r="X98" s="195"/>
      <x:c r="Y98" s="195"/>
      <x:c r="Z98" s="195"/>
    </x:row>
    <x:row r="99">
      <x:c r="A99" s="195"/>
      <x:c r="B99" s="195"/>
      <x:c r="C99" s="195"/>
      <x:c r="D99" s="195"/>
      <x:c r="E99" s="195"/>
      <x:c r="F99" s="195"/>
      <x:c r="G99" s="195"/>
      <x:c r="H99" s="195"/>
      <x:c r="I99" s="195"/>
      <x:c r="J99" s="195"/>
      <x:c r="K99" s="195"/>
      <x:c r="L99" s="195"/>
      <x:c r="M99" s="195"/>
      <x:c r="N99" s="195"/>
      <x:c r="O99" s="195"/>
      <x:c r="P99" s="195"/>
      <x:c r="Q99" s="195"/>
      <x:c r="R99" s="195"/>
      <x:c r="S99" s="195"/>
      <x:c r="T99" s="195"/>
      <x:c r="U99" s="195"/>
      <x:c r="V99" s="195"/>
      <x:c r="W99" s="195"/>
      <x:c r="X99" s="195"/>
      <x:c r="Y99" s="195"/>
      <x:c r="Z99" s="195"/>
    </x:row>
    <x:row r="100">
      <x:c r="A100" s="195"/>
      <x:c r="B100" s="195"/>
      <x:c r="C100" s="195"/>
      <x:c r="D100" s="195"/>
      <x:c r="E100" s="195"/>
      <x:c r="F100" s="195"/>
      <x:c r="G100" s="195"/>
      <x:c r="H100" s="195"/>
      <x:c r="I100" s="195"/>
      <x:c r="J100" s="195"/>
      <x:c r="K100" s="195"/>
      <x:c r="L100" s="195"/>
      <x:c r="M100" s="195"/>
      <x:c r="N100" s="195"/>
      <x:c r="O100" s="195"/>
      <x:c r="P100" s="195"/>
      <x:c r="Q100" s="195"/>
      <x:c r="R100" s="195"/>
      <x:c r="S100" s="195"/>
      <x:c r="T100" s="195"/>
      <x:c r="U100" s="195"/>
      <x:c r="V100" s="195"/>
      <x:c r="W100" s="195"/>
      <x:c r="X100" s="195"/>
      <x:c r="Y100" s="195"/>
      <x:c r="Z100" s="195"/>
    </x:row>
  </x:sheetData>
  <x:mergeCells>
    <x:mergeCell ref="A2:F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4B5563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62" hidden="0" customWidth="1"/>
    <x:col min="3" max="3" width="25" hidden="0" customWidth="1"/>
    <x:col min="4" max="4" width="29" hidden="0" customWidth="1"/>
    <x:col min="5" max="5" width="14" hidden="0" customWidth="1"/>
    <x:col min="6" max="6" width="14" hidden="0" customWidth="1"/>
    <x:col min="7" max="7" width="31" hidden="0" customWidth="1"/>
    <x:col min="8" max="8" width="35" hidden="0" customWidth="1"/>
  </x:cols>
  <x:sheetData>
    <x:row r="1">
      <x:c r="A1" s="195"/>
      <x:c r="B1" s="195"/>
      <x:c r="C1" s="195"/>
      <x:c r="D1" s="195"/>
      <x:c r="E1" s="195"/>
      <x:c r="F1" s="195"/>
      <x:c r="G1" s="195"/>
      <x:c r="H1" s="195"/>
      <x:c r="I1" s="195"/>
      <x:c r="J1" s="195"/>
      <x:c r="K1" s="195"/>
      <x:c r="L1" s="195"/>
      <x:c r="M1" s="195"/>
      <x:c r="N1" s="195"/>
      <x:c r="O1" s="195"/>
      <x:c r="P1" s="195"/>
      <x:c r="Q1" s="195"/>
      <x:c r="R1" s="195"/>
      <x:c r="S1" s="195"/>
      <x:c r="T1" s="195"/>
      <x:c r="U1" s="195"/>
      <x:c r="V1" s="195"/>
      <x:c r="W1" s="195"/>
      <x:c r="X1" s="195"/>
      <x:c r="Y1" s="195"/>
      <x:c r="Z1" s="195"/>
    </x:row>
    <x:row r="2" ht="30" customHeight="1">
      <x:c r="A2" s="116" t="str">
        <x:v>Bronnen, invulinstructie en gegevenskwaliteit</x:v>
      </x:c>
      <x:c r="B2" s="116" t="str">
        <x:v>Bronnen, invulinstructie en gegevenskwaliteit</x:v>
      </x:c>
      <x:c r="C2" s="116" t="str">
        <x:v>Bronnen, invulinstructie en gegevenskwaliteit</x:v>
      </x:c>
      <x:c r="D2" s="116" t="str">
        <x:v>Bronnen, invulinstructie en gegevenskwaliteit</x:v>
      </x:c>
      <x:c r="E2" s="116" t="str">
        <x:v>Bronnen, invulinstructie en gegevenskwaliteit</x:v>
      </x:c>
      <x:c r="F2" s="116" t="str">
        <x:v>Bronnen, invulinstructie en gegevenskwaliteit</x:v>
      </x:c>
      <x:c r="G2" s="116" t="str">
        <x:v>Bronnen, invulinstructie en gegevenskwaliteit</x:v>
      </x:c>
      <x:c r="H2" s="116" t="str">
        <x:v>Bronnen, invulinstructie en gegevenskwaliteit</x:v>
      </x:c>
      <x:c r="I2" s="195"/>
      <x:c r="J2" s="195"/>
      <x:c r="K2" s="195"/>
      <x:c r="L2" s="195"/>
      <x:c r="M2" s="195"/>
      <x:c r="N2" s="195"/>
      <x:c r="O2" s="195"/>
      <x:c r="P2" s="195"/>
      <x:c r="Q2" s="195"/>
      <x:c r="R2" s="195"/>
      <x:c r="S2" s="195"/>
      <x:c r="T2" s="195"/>
      <x:c r="U2" s="195"/>
      <x:c r="V2" s="195"/>
      <x:c r="W2" s="195"/>
      <x:c r="X2" s="195"/>
      <x:c r="Y2" s="195"/>
      <x:c r="Z2" s="195"/>
    </x:row>
    <x:row r="3">
      <x:c r="A3" s="196"/>
      <x:c r="B3" s="196"/>
      <x:c r="C3" s="196"/>
      <x:c r="D3" s="196"/>
      <x:c r="E3" s="196"/>
      <x:c r="F3" s="196"/>
      <x:c r="G3" s="196"/>
      <x:c r="H3" s="196"/>
      <x:c r="I3" s="195"/>
      <x:c r="J3" s="195"/>
      <x:c r="K3" s="195"/>
      <x:c r="L3" s="195"/>
      <x:c r="M3" s="195"/>
      <x:c r="N3" s="195"/>
      <x:c r="O3" s="195"/>
      <x:c r="P3" s="195"/>
      <x:c r="Q3" s="195"/>
      <x:c r="R3" s="195"/>
      <x:c r="S3" s="195"/>
      <x:c r="T3" s="195"/>
      <x:c r="U3" s="195"/>
      <x:c r="V3" s="195"/>
      <x:c r="W3" s="195"/>
      <x:c r="X3" s="195"/>
      <x:c r="Y3" s="195"/>
      <x:c r="Z3" s="195"/>
    </x:row>
    <x:row r="4">
      <x:c r="A4" s="196"/>
      <x:c r="B4" s="196"/>
      <x:c r="C4" s="196"/>
      <x:c r="D4" s="196"/>
      <x:c r="E4" s="196"/>
      <x:c r="F4" s="196"/>
      <x:c r="G4" s="196"/>
      <x:c r="H4" s="196"/>
      <x:c r="I4" s="195"/>
      <x:c r="J4" s="195"/>
      <x:c r="K4" s="195"/>
      <x:c r="L4" s="195"/>
      <x:c r="M4" s="195"/>
      <x:c r="N4" s="195"/>
      <x:c r="O4" s="195"/>
      <x:c r="P4" s="195"/>
      <x:c r="Q4" s="195"/>
      <x:c r="R4" s="195"/>
      <x:c r="S4" s="195"/>
      <x:c r="T4" s="195"/>
      <x:c r="U4" s="195"/>
      <x:c r="V4" s="195"/>
      <x:c r="W4" s="195"/>
      <x:c r="X4" s="195"/>
      <x:c r="Y4" s="195"/>
      <x:c r="Z4" s="195"/>
    </x:row>
    <x:row r="5" ht="23" customHeight="1">
      <x:c r="A5" s="118" t="str">
        <x:v>Stappenplan invullen</x:v>
      </x:c>
      <x:c r="B5" s="118"/>
      <x:c r="C5" s="118"/>
      <x:c r="D5" s="118"/>
      <x:c r="E5" s="118"/>
      <x:c r="F5" s="118"/>
      <x:c r="G5" s="118"/>
      <x:c r="H5" s="118"/>
      <x:c r="I5" s="195"/>
      <x:c r="J5" s="195"/>
      <x:c r="K5" s="195"/>
      <x:c r="L5" s="195"/>
      <x:c r="M5" s="195"/>
      <x:c r="N5" s="195"/>
      <x:c r="O5" s="195"/>
      <x:c r="P5" s="195"/>
      <x:c r="Q5" s="195"/>
      <x:c r="R5" s="195"/>
      <x:c r="S5" s="195"/>
      <x:c r="T5" s="195"/>
      <x:c r="U5" s="195"/>
      <x:c r="V5" s="195"/>
      <x:c r="W5" s="195"/>
      <x:c r="X5" s="195"/>
      <x:c r="Y5" s="195"/>
      <x:c r="Z5" s="195"/>
    </x:row>
    <x:row r="6" ht="30" customHeight="1">
      <x:c r="A6" s="210" t="n">
        <x:v>1</x:v>
      </x:c>
      <x:c r="B6" s="211" t="str">
        <x:v>Baken gebied, populatie, peildatum en prijspeil af.</x:v>
      </x:c>
      <x:c r="C6" s="211" t="str"/>
      <x:c r="D6" s="211" t="str"/>
      <x:c r="E6" s="211" t="str"/>
      <x:c r="F6" s="211" t="str"/>
      <x:c r="G6" s="211" t="str"/>
      <x:c r="H6" s="211" t="str"/>
      <x:c r="I6" s="195"/>
      <x:c r="J6" s="195"/>
      <x:c r="K6" s="195"/>
      <x:c r="L6" s="195"/>
      <x:c r="M6" s="195"/>
      <x:c r="N6" s="195"/>
      <x:c r="O6" s="195"/>
      <x:c r="P6" s="195"/>
      <x:c r="Q6" s="195"/>
      <x:c r="R6" s="195"/>
      <x:c r="S6" s="195"/>
      <x:c r="T6" s="195"/>
      <x:c r="U6" s="195"/>
      <x:c r="V6" s="195"/>
      <x:c r="W6" s="195"/>
      <x:c r="X6" s="195"/>
      <x:c r="Y6" s="195"/>
      <x:c r="Z6" s="195"/>
    </x:row>
    <x:row r="7" ht="30" customHeight="1">
      <x:c r="A7" s="210" t="n">
        <x:v>2</x:v>
      </x:c>
      <x:c r="B7" s="211" t="str">
        <x:v>Maak onderling exclusieve woninggroepen naar regio, huishoudtype, prijs en bijzondere behoefte.</x:v>
      </x:c>
      <x:c r="C7" s="211" t="str"/>
      <x:c r="D7" s="211" t="str"/>
      <x:c r="E7" s="211" t="str"/>
      <x:c r="F7" s="211" t="str"/>
      <x:c r="G7" s="211" t="str"/>
      <x:c r="H7" s="211" t="str"/>
      <x:c r="I7" s="195"/>
      <x:c r="J7" s="195"/>
      <x:c r="K7" s="195"/>
      <x:c r="L7" s="195"/>
      <x:c r="M7" s="195"/>
      <x:c r="N7" s="195"/>
      <x:c r="O7" s="195"/>
      <x:c r="P7" s="195"/>
      <x:c r="Q7" s="195"/>
      <x:c r="R7" s="195"/>
      <x:c r="S7" s="195"/>
      <x:c r="T7" s="195"/>
      <x:c r="U7" s="195"/>
      <x:c r="V7" s="195"/>
      <x:c r="W7" s="195"/>
      <x:c r="X7" s="195"/>
      <x:c r="Y7" s="195"/>
      <x:c r="Z7" s="195"/>
    </x:row>
    <x:row r="8" ht="30" customHeight="1">
      <x:c r="A8" s="210" t="n">
        <x:v>3</x:v>
      </x:c>
      <x:c r="B8" s="211" t="str">
        <x:v>Bepaal per groep de behoefte Dg: huishoudens die op de peildatum een passende woning nodig hebben.</x:v>
      </x:c>
      <x:c r="C8" s="211" t="str"/>
      <x:c r="D8" s="211" t="str"/>
      <x:c r="E8" s="211" t="str"/>
      <x:c r="F8" s="211" t="str"/>
      <x:c r="G8" s="211" t="str"/>
      <x:c r="H8" s="211" t="str"/>
      <x:c r="I8" s="195"/>
      <x:c r="J8" s="195"/>
      <x:c r="K8" s="195"/>
      <x:c r="L8" s="195"/>
      <x:c r="M8" s="195"/>
      <x:c r="N8" s="195"/>
      <x:c r="O8" s="195"/>
      <x:c r="P8" s="195"/>
      <x:c r="Q8" s="195"/>
      <x:c r="R8" s="195"/>
      <x:c r="S8" s="195"/>
      <x:c r="T8" s="195"/>
      <x:c r="U8" s="195"/>
      <x:c r="V8" s="195"/>
      <x:c r="W8" s="195"/>
      <x:c r="X8" s="195"/>
      <x:c r="Y8" s="195"/>
      <x:c r="Z8" s="195"/>
    </x:row>
    <x:row r="9" ht="30" customHeight="1">
      <x:c r="A9" s="210" t="n">
        <x:v>4</x:v>
      </x:c>
      <x:c r="B9" s="211" t="str">
        <x:v>Tel alleen aanbod dat werkelijk beschikbaar, passend, betaalbaar en adequaat is.</x:v>
      </x:c>
      <x:c r="C9" s="211" t="str"/>
      <x:c r="D9" s="211" t="str"/>
      <x:c r="E9" s="211" t="str"/>
      <x:c r="F9" s="211" t="str"/>
      <x:c r="G9" s="211" t="str"/>
      <x:c r="H9" s="211" t="str"/>
      <x:c r="I9" s="195"/>
      <x:c r="J9" s="195"/>
      <x:c r="K9" s="195"/>
      <x:c r="L9" s="195"/>
      <x:c r="M9" s="195"/>
      <x:c r="N9" s="195"/>
      <x:c r="O9" s="195"/>
      <x:c r="P9" s="195"/>
      <x:c r="Q9" s="195"/>
      <x:c r="R9" s="195"/>
      <x:c r="S9" s="195"/>
      <x:c r="T9" s="195"/>
      <x:c r="U9" s="195"/>
      <x:c r="V9" s="195"/>
      <x:c r="W9" s="195"/>
      <x:c r="X9" s="195"/>
      <x:c r="Y9" s="195"/>
      <x:c r="Z9" s="195"/>
    </x:row>
    <x:row r="10" ht="30" customHeight="1">
      <x:c r="A10" s="210" t="n">
        <x:v>5</x:v>
      </x:c>
      <x:c r="B10" s="211" t="str">
        <x:v>Koppel vraag en aanbod één-op-één. Een woning mag slechts in één groep meetellen.</x:v>
      </x:c>
      <x:c r="C10" s="211" t="str"/>
      <x:c r="D10" s="211" t="str"/>
      <x:c r="E10" s="211" t="str"/>
      <x:c r="F10" s="211" t="str"/>
      <x:c r="G10" s="211" t="str"/>
      <x:c r="H10" s="211" t="str"/>
      <x:c r="I10" s="195"/>
      <x:c r="J10" s="195"/>
      <x:c r="K10" s="195"/>
      <x:c r="L10" s="195"/>
      <x:c r="M10" s="195"/>
      <x:c r="N10" s="195"/>
      <x:c r="O10" s="195"/>
      <x:c r="P10" s="195"/>
      <x:c r="Q10" s="195"/>
      <x:c r="R10" s="195"/>
      <x:c r="S10" s="195"/>
      <x:c r="T10" s="195"/>
      <x:c r="U10" s="195"/>
      <x:c r="V10" s="195"/>
      <x:c r="W10" s="195"/>
      <x:c r="X10" s="195"/>
      <x:c r="Y10" s="195"/>
      <x:c r="Z10" s="195"/>
    </x:row>
    <x:row r="11" ht="30" customHeight="1">
      <x:c r="A11" s="210" t="n">
        <x:v>6</x:v>
      </x:c>
      <x:c r="B11" s="211" t="str">
        <x:v>Maak representatieve huishoudtypen en leg de weging wh vast.</x:v>
      </x:c>
      <x:c r="C11" s="211" t="str"/>
      <x:c r="D11" s="211" t="str"/>
      <x:c r="E11" s="211" t="str"/>
      <x:c r="F11" s="211" t="str"/>
      <x:c r="G11" s="211" t="str"/>
      <x:c r="H11" s="211" t="str"/>
      <x:c r="I11" s="195"/>
      <x:c r="J11" s="195"/>
      <x:c r="K11" s="195"/>
      <x:c r="L11" s="195"/>
      <x:c r="M11" s="195"/>
      <x:c r="N11" s="195"/>
      <x:c r="O11" s="195"/>
      <x:c r="P11" s="195"/>
      <x:c r="Q11" s="195"/>
      <x:c r="R11" s="195"/>
      <x:c r="S11" s="195"/>
      <x:c r="T11" s="195"/>
      <x:c r="U11" s="195"/>
      <x:c r="V11" s="195"/>
      <x:c r="W11" s="195"/>
      <x:c r="X11" s="195"/>
      <x:c r="Y11" s="195"/>
      <x:c r="Z11" s="195"/>
    </x:row>
    <x:row r="12" ht="30" customHeight="1">
      <x:c r="A12" s="210" t="n">
        <x:v>7</x:v>
      </x:c>
      <x:c r="B12" s="211" t="str">
        <x:v>Vul inkomen exclusief basisinkomen, adequate woon- en energielasten en een minimumuitgavenbudget in.</x:v>
      </x:c>
      <x:c r="C12" s="211" t="str"/>
      <x:c r="D12" s="211" t="str"/>
      <x:c r="E12" s="211" t="str"/>
      <x:c r="F12" s="211" t="str"/>
      <x:c r="G12" s="211" t="str"/>
      <x:c r="H12" s="211" t="str"/>
      <x:c r="I12" s="195"/>
      <x:c r="J12" s="195"/>
      <x:c r="K12" s="195"/>
      <x:c r="L12" s="195"/>
      <x:c r="M12" s="195"/>
      <x:c r="N12" s="195"/>
      <x:c r="O12" s="195"/>
      <x:c r="P12" s="195"/>
      <x:c r="Q12" s="195"/>
      <x:c r="R12" s="195"/>
      <x:c r="S12" s="195"/>
      <x:c r="T12" s="195"/>
      <x:c r="U12" s="195"/>
      <x:c r="V12" s="195"/>
      <x:c r="W12" s="195"/>
      <x:c r="X12" s="195"/>
      <x:c r="Y12" s="195"/>
      <x:c r="Z12" s="195"/>
    </x:row>
    <x:row r="13" ht="30" customHeight="1">
      <x:c r="A13" s="210" t="n">
        <x:v>8</x:v>
      </x:c>
      <x:c r="B13" s="211" t="str">
        <x:v>Kies een basisinkomenscenario en vul ontvangers, uitvoeringskosten, belastingterugvloeiing en besparingen in.</x:v>
      </x:c>
      <x:c r="C13" s="211" t="str"/>
      <x:c r="D13" s="211" t="str"/>
      <x:c r="E13" s="211" t="str"/>
      <x:c r="F13" s="211" t="str"/>
      <x:c r="G13" s="211" t="str"/>
      <x:c r="H13" s="211" t="str"/>
      <x:c r="I13" s="195"/>
      <x:c r="J13" s="195"/>
      <x:c r="K13" s="195"/>
      <x:c r="L13" s="195"/>
      <x:c r="M13" s="195"/>
      <x:c r="N13" s="195"/>
      <x:c r="O13" s="195"/>
      <x:c r="P13" s="195"/>
      <x:c r="Q13" s="195"/>
      <x:c r="R13" s="195"/>
      <x:c r="S13" s="195"/>
      <x:c r="T13" s="195"/>
      <x:c r="U13" s="195"/>
      <x:c r="V13" s="195"/>
      <x:c r="W13" s="195"/>
      <x:c r="X13" s="195"/>
      <x:c r="Y13" s="195"/>
      <x:c r="Z13" s="195"/>
    </x:row>
    <x:row r="14" ht="30" customHeight="1">
      <x:c r="A14" s="210" t="n">
        <x:v>9</x:v>
      </x:c>
      <x:c r="B14" s="211" t="str">
        <x:v>Controleer uitkomsten per groep en voer gevoeligheidsanalyses uit.</x:v>
      </x:c>
      <x:c r="C14" s="211" t="str"/>
      <x:c r="D14" s="211" t="str"/>
      <x:c r="E14" s="211" t="str"/>
      <x:c r="F14" s="211" t="str"/>
      <x:c r="G14" s="211" t="str"/>
      <x:c r="H14" s="211" t="str"/>
      <x:c r="I14" s="195"/>
      <x:c r="J14" s="195"/>
      <x:c r="K14" s="195"/>
      <x:c r="L14" s="195"/>
      <x:c r="M14" s="195"/>
      <x:c r="N14" s="195"/>
      <x:c r="O14" s="195"/>
      <x:c r="P14" s="195"/>
      <x:c r="Q14" s="195"/>
      <x:c r="R14" s="195"/>
      <x:c r="S14" s="195"/>
      <x:c r="T14" s="195"/>
      <x:c r="U14" s="195"/>
      <x:c r="V14" s="195"/>
      <x:c r="W14" s="195"/>
      <x:c r="X14" s="195"/>
      <x:c r="Y14" s="195"/>
      <x:c r="Z14" s="195"/>
    </x:row>
    <x:row r="15" ht="30" customHeight="1">
      <x:c r="A15" s="210" t="n">
        <x:v>10</x:v>
      </x:c>
      <x:c r="B15" s="211" t="str">
        <x:v>Publiceer aannames, ontbrekende data en verschillen tussen feit, schatting en politieke norm.</x:v>
      </x:c>
      <x:c r="C15" s="211" t="str"/>
      <x:c r="D15" s="211" t="str"/>
      <x:c r="E15" s="211" t="str"/>
      <x:c r="F15" s="211" t="str"/>
      <x:c r="G15" s="211" t="str"/>
      <x:c r="H15" s="211" t="str"/>
      <x:c r="I15" s="195"/>
      <x:c r="J15" s="195"/>
      <x:c r="K15" s="195"/>
      <x:c r="L15" s="195"/>
      <x:c r="M15" s="195"/>
      <x:c r="N15" s="195"/>
      <x:c r="O15" s="195"/>
      <x:c r="P15" s="195"/>
      <x:c r="Q15" s="195"/>
      <x:c r="R15" s="195"/>
      <x:c r="S15" s="195"/>
      <x:c r="T15" s="195"/>
      <x:c r="U15" s="195"/>
      <x:c r="V15" s="195"/>
      <x:c r="W15" s="195"/>
      <x:c r="X15" s="195"/>
      <x:c r="Y15" s="195"/>
      <x:c r="Z15" s="195"/>
    </x:row>
    <x:row r="16">
      <x:c r="A16" s="196"/>
      <x:c r="B16" s="196"/>
      <x:c r="C16" s="196"/>
      <x:c r="D16" s="196"/>
      <x:c r="E16" s="196"/>
      <x:c r="F16" s="196"/>
      <x:c r="G16" s="196"/>
      <x:c r="H16" s="196"/>
      <x:c r="I16" s="195"/>
      <x:c r="J16" s="195"/>
      <x:c r="K16" s="195"/>
      <x:c r="L16" s="195"/>
      <x:c r="M16" s="195"/>
      <x:c r="N16" s="195"/>
      <x:c r="O16" s="195"/>
      <x:c r="P16" s="195"/>
      <x:c r="Q16" s="195"/>
      <x:c r="R16" s="195"/>
      <x:c r="S16" s="195"/>
      <x:c r="T16" s="195"/>
      <x:c r="U16" s="195"/>
      <x:c r="V16" s="195"/>
      <x:c r="W16" s="195"/>
      <x:c r="X16" s="195"/>
      <x:c r="Y16" s="195"/>
      <x:c r="Z16" s="195"/>
    </x:row>
    <x:row r="17" ht="23" customHeight="1">
      <x:c r="A17" s="118" t="str">
        <x:v>Minimaal te verzamelen gegevens</x:v>
      </x:c>
      <x:c r="B17" s="118"/>
      <x:c r="C17" s="118"/>
      <x:c r="D17" s="118"/>
      <x:c r="E17" s="118"/>
      <x:c r="F17" s="118"/>
      <x:c r="G17" s="118"/>
      <x:c r="H17" s="118"/>
      <x:c r="I17" s="195"/>
      <x:c r="J17" s="195"/>
      <x:c r="K17" s="195"/>
      <x:c r="L17" s="195"/>
      <x:c r="M17" s="195"/>
      <x:c r="N17" s="195"/>
      <x:c r="O17" s="195"/>
      <x:c r="P17" s="195"/>
      <x:c r="Q17" s="195"/>
      <x:c r="R17" s="195"/>
      <x:c r="S17" s="195"/>
      <x:c r="T17" s="195"/>
      <x:c r="U17" s="195"/>
      <x:c r="V17" s="195"/>
      <x:c r="W17" s="195"/>
      <x:c r="X17" s="195"/>
      <x:c r="Y17" s="195"/>
      <x:c r="Z17" s="195"/>
    </x:row>
    <x:row r="18">
      <x:c r="A18" s="20" t="str">
        <x:v>Onderdeel</x:v>
      </x:c>
      <x:c r="B18" s="21" t="str">
        <x:v>Gegeven</x:v>
      </x:c>
      <x:c r="C18" s="21" t="str">
        <x:v>Eenheid</x:v>
      </x:c>
      <x:c r="D18" s="21" t="str">
        <x:v>Voorkeursbron</x:v>
      </x:c>
      <x:c r="E18" s="21" t="str">
        <x:v>Meetjaar</x:v>
      </x:c>
      <x:c r="F18" s="21" t="str">
        <x:v>Status</x:v>
      </x:c>
      <x:c r="G18" s="21" t="str">
        <x:v>Eigen bron</x:v>
      </x:c>
      <x:c r="H18" s="22" t="str">
        <x:v>Kwaliteitsnotitie</x:v>
      </x:c>
      <x:c r="I18" s="195"/>
      <x:c r="J18" s="195"/>
      <x:c r="K18" s="195"/>
      <x:c r="L18" s="195"/>
      <x:c r="M18" s="195"/>
      <x:c r="N18" s="195"/>
      <x:c r="O18" s="195"/>
      <x:c r="P18" s="195"/>
      <x:c r="Q18" s="195"/>
      <x:c r="R18" s="195"/>
      <x:c r="S18" s="195"/>
      <x:c r="T18" s="195"/>
      <x:c r="U18" s="195"/>
      <x:c r="V18" s="195"/>
      <x:c r="W18" s="195"/>
      <x:c r="X18" s="195"/>
      <x:c r="Y18" s="195"/>
      <x:c r="Z18" s="195"/>
    </x:row>
    <x:row r="19" ht="38" customHeight="1">
      <x:c r="A19" s="196" t="str">
        <x:v>Afbakening</x:v>
      </x:c>
      <x:c r="B19" s="196" t="str">
        <x:v>gebied, populatie, peildatum, prijspeil</x:v>
      </x:c>
      <x:c r="C19" s="196" t="str">
        <x:v>tekst/datum</x:v>
      </x:c>
      <x:c r="D19" s="196" t="str">
        <x:v>besluit of onderzoeksplan</x:v>
      </x:c>
      <x:c r="E19" s="212" t="str"/>
      <x:c r="F19" s="196" t="str">
        <x:v>verplicht</x:v>
      </x:c>
      <x:c r="G19" s="218" t="str"/>
      <x:c r="H19" s="275" t="str"/>
      <x:c r="I19" s="195"/>
      <x:c r="J19" s="195"/>
      <x:c r="K19" s="195"/>
      <x:c r="L19" s="195"/>
      <x:c r="M19" s="195"/>
      <x:c r="N19" s="195"/>
      <x:c r="O19" s="195"/>
      <x:c r="P19" s="195"/>
      <x:c r="Q19" s="195"/>
      <x:c r="R19" s="195"/>
      <x:c r="S19" s="195"/>
      <x:c r="T19" s="195"/>
      <x:c r="U19" s="195"/>
      <x:c r="V19" s="195"/>
      <x:c r="W19" s="195"/>
      <x:c r="X19" s="195"/>
      <x:c r="Y19" s="195"/>
      <x:c r="Z19" s="195"/>
    </x:row>
    <x:row r="20" ht="38" customHeight="1">
      <x:c r="A20" s="196" t="str">
        <x:v>Woningvraag</x:v>
      </x:c>
      <x:c r="B20" s="196" t="str">
        <x:v>huishoudens naar regio, type en bijzondere behoefte</x:v>
      </x:c>
      <x:c r="C20" s="196" t="str">
        <x:v>aantal</x:v>
      </x:c>
      <x:c r="D20" s="196" t="str">
        <x:v>CBS/Woonbase, gemeente, WoON</x:v>
      </x:c>
      <x:c r="E20" s="215" t="str"/>
      <x:c r="F20" s="196" t="str">
        <x:v>verplicht</x:v>
      </x:c>
      <x:c r="G20" s="222" t="str"/>
      <x:c r="H20" s="276" t="str"/>
      <x:c r="I20" s="195"/>
      <x:c r="J20" s="195"/>
      <x:c r="K20" s="195"/>
      <x:c r="L20" s="195"/>
      <x:c r="M20" s="195"/>
      <x:c r="N20" s="195"/>
      <x:c r="O20" s="195"/>
      <x:c r="P20" s="195"/>
      <x:c r="Q20" s="195"/>
      <x:c r="R20" s="195"/>
      <x:c r="S20" s="195"/>
      <x:c r="T20" s="195"/>
      <x:c r="U20" s="195"/>
      <x:c r="V20" s="195"/>
      <x:c r="W20" s="195"/>
      <x:c r="X20" s="195"/>
      <x:c r="Y20" s="195"/>
      <x:c r="Z20" s="195"/>
    </x:row>
    <x:row r="21" ht="38" customHeight="1">
      <x:c r="A21" s="196" t="str">
        <x:v>Beschikbaarheid</x:v>
      </x:c>
      <x:c r="B21" s="196" t="str">
        <x:v>woningen werkelijk beschikbaar voor de doelgroep</x:v>
      </x:c>
      <x:c r="C21" s="196" t="str">
        <x:v>aantal</x:v>
      </x:c>
      <x:c r="D21" s="196" t="str">
        <x:v>BAG, corporatie, gemeentelijke registratie</x:v>
      </x:c>
      <x:c r="E21" s="215" t="str"/>
      <x:c r="F21" s="196" t="str">
        <x:v>verplicht</x:v>
      </x:c>
      <x:c r="G21" s="222" t="str"/>
      <x:c r="H21" s="276" t="str"/>
      <x:c r="I21" s="195"/>
      <x:c r="J21" s="195"/>
      <x:c r="K21" s="195"/>
      <x:c r="L21" s="195"/>
      <x:c r="M21" s="195"/>
      <x:c r="N21" s="195"/>
      <x:c r="O21" s="195"/>
      <x:c r="P21" s="195"/>
      <x:c r="Q21" s="195"/>
      <x:c r="R21" s="195"/>
      <x:c r="S21" s="195"/>
      <x:c r="T21" s="195"/>
      <x:c r="U21" s="195"/>
      <x:c r="V21" s="195"/>
      <x:c r="W21" s="195"/>
      <x:c r="X21" s="195"/>
      <x:c r="Y21" s="195"/>
      <x:c r="Z21" s="195"/>
    </x:row>
    <x:row r="22" ht="38" customHeight="1">
      <x:c r="A22" s="196" t="str">
        <x:v>Geschiktheid</x:v>
      </x:c>
      <x:c r="B22" s="196" t="str">
        <x:v>type, grootte, toegankelijkheid en bezetting</x:v>
      </x:c>
      <x:c r="C22" s="196" t="str">
        <x:v>aantal/kenmerk</x:v>
      </x:c>
      <x:c r="D22" s="196" t="str">
        <x:v>BAG, WoON, woningregistratie</x:v>
      </x:c>
      <x:c r="E22" s="215" t="str"/>
      <x:c r="F22" s="196" t="str">
        <x:v>verplicht</x:v>
      </x:c>
      <x:c r="G22" s="222" t="str"/>
      <x:c r="H22" s="276" t="str"/>
      <x:c r="I22" s="195"/>
      <x:c r="J22" s="195"/>
      <x:c r="K22" s="195"/>
      <x:c r="L22" s="195"/>
      <x:c r="M22" s="195"/>
      <x:c r="N22" s="195"/>
      <x:c r="O22" s="195"/>
      <x:c r="P22" s="195"/>
      <x:c r="Q22" s="195"/>
      <x:c r="R22" s="195"/>
      <x:c r="S22" s="195"/>
      <x:c r="T22" s="195"/>
      <x:c r="U22" s="195"/>
      <x:c r="V22" s="195"/>
      <x:c r="W22" s="195"/>
      <x:c r="X22" s="195"/>
      <x:c r="Y22" s="195"/>
      <x:c r="Z22" s="195"/>
    </x:row>
    <x:row r="23" ht="38" customHeight="1">
      <x:c r="A23" s="196" t="str">
        <x:v>Betaalbaarheid</x:v>
      </x:c>
      <x:c r="B23" s="196" t="str">
        <x:v>woon- en energielasten versus besteedbaar inkomen</x:v>
      </x:c>
      <x:c r="C23" s="196" t="str">
        <x:v>euro/%</x:v>
      </x:c>
      <x:c r="D23" s="196" t="str">
        <x:v>CBS, WoON, corporatie, energiedata</x:v>
      </x:c>
      <x:c r="E23" s="215" t="str"/>
      <x:c r="F23" s="196" t="str">
        <x:v>verplicht</x:v>
      </x:c>
      <x:c r="G23" s="222" t="str"/>
      <x:c r="H23" s="276" t="str"/>
      <x:c r="I23" s="195"/>
      <x:c r="J23" s="195"/>
      <x:c r="K23" s="195"/>
      <x:c r="L23" s="195"/>
      <x:c r="M23" s="195"/>
      <x:c r="N23" s="195"/>
      <x:c r="O23" s="195"/>
      <x:c r="P23" s="195"/>
      <x:c r="Q23" s="195"/>
      <x:c r="R23" s="195"/>
      <x:c r="S23" s="195"/>
      <x:c r="T23" s="195"/>
      <x:c r="U23" s="195"/>
      <x:c r="V23" s="195"/>
      <x:c r="W23" s="195"/>
      <x:c r="X23" s="195"/>
      <x:c r="Y23" s="195"/>
      <x:c r="Z23" s="195"/>
    </x:row>
    <x:row r="24" ht="38" customHeight="1">
      <x:c r="A24" s="196" t="str">
        <x:v>Kwaliteit</x:v>
      </x:c>
      <x:c r="B24" s="196" t="str">
        <x:v>staat, gezondheid, veiligheid en energieprestatie</x:v>
      </x:c>
      <x:c r="C24" s="196" t="str">
        <x:v>score/label</x:v>
      </x:c>
      <x:c r="D24" s="196" t="str">
        <x:v>inspectie, EP-Online, bewonersmeting</x:v>
      </x:c>
      <x:c r="E24" s="215" t="str"/>
      <x:c r="F24" s="196" t="str">
        <x:v>verplicht</x:v>
      </x:c>
      <x:c r="G24" s="222" t="str"/>
      <x:c r="H24" s="276" t="str"/>
      <x:c r="I24" s="195"/>
      <x:c r="J24" s="195"/>
      <x:c r="K24" s="195"/>
      <x:c r="L24" s="195"/>
      <x:c r="M24" s="195"/>
      <x:c r="N24" s="195"/>
      <x:c r="O24" s="195"/>
      <x:c r="P24" s="195"/>
      <x:c r="Q24" s="195"/>
      <x:c r="R24" s="195"/>
      <x:c r="S24" s="195"/>
      <x:c r="T24" s="195"/>
      <x:c r="U24" s="195"/>
      <x:c r="V24" s="195"/>
      <x:c r="W24" s="195"/>
      <x:c r="X24" s="195"/>
      <x:c r="Y24" s="195"/>
      <x:c r="Z24" s="195"/>
    </x:row>
    <x:row r="25" ht="38" customHeight="1">
      <x:c r="A25" s="196" t="str">
        <x:v>Inkomen</x:v>
      </x:c>
      <x:c r="B25" s="196" t="str">
        <x:v>netto inkomen exclusief basisinkomen</x:v>
      </x:c>
      <x:c r="C25" s="196" t="str">
        <x:v>euro p.m.</x:v>
      </x:c>
      <x:c r="D25" s="196" t="str">
        <x:v>CBS microdata/enquête/belastinggegevens</x:v>
      </x:c>
      <x:c r="E25" s="215" t="str"/>
      <x:c r="F25" s="196" t="str">
        <x:v>verplicht</x:v>
      </x:c>
      <x:c r="G25" s="222" t="str"/>
      <x:c r="H25" s="276" t="str"/>
      <x:c r="I25" s="195"/>
      <x:c r="J25" s="195"/>
      <x:c r="K25" s="195"/>
      <x:c r="L25" s="195"/>
      <x:c r="M25" s="195"/>
      <x:c r="N25" s="195"/>
      <x:c r="O25" s="195"/>
      <x:c r="P25" s="195"/>
      <x:c r="Q25" s="195"/>
      <x:c r="R25" s="195"/>
      <x:c r="S25" s="195"/>
      <x:c r="T25" s="195"/>
      <x:c r="U25" s="195"/>
      <x:c r="V25" s="195"/>
      <x:c r="W25" s="195"/>
      <x:c r="X25" s="195"/>
      <x:c r="Y25" s="195"/>
      <x:c r="Z25" s="195"/>
    </x:row>
    <x:row r="26" ht="38" customHeight="1">
      <x:c r="A26" s="196" t="str">
        <x:v>Minimumuitgaven</x:v>
      </x:c>
      <x:c r="B26" s="196" t="str">
        <x:v>noodzakelijke overige uitgaven per huishoudtype</x:v>
      </x:c>
      <x:c r="C26" s="196" t="str">
        <x:v>euro p.m.</x:v>
      </x:c>
      <x:c r="D26" s="196" t="str">
        <x:v>Nibud/SCP/normatief budget</x:v>
      </x:c>
      <x:c r="E26" s="215" t="str"/>
      <x:c r="F26" s="196" t="str">
        <x:v>verplicht</x:v>
      </x:c>
      <x:c r="G26" s="222" t="str"/>
      <x:c r="H26" s="276" t="str"/>
      <x:c r="I26" s="195"/>
      <x:c r="J26" s="195"/>
      <x:c r="K26" s="195"/>
      <x:c r="L26" s="195"/>
      <x:c r="M26" s="195"/>
      <x:c r="N26" s="195"/>
      <x:c r="O26" s="195"/>
      <x:c r="P26" s="195"/>
      <x:c r="Q26" s="195"/>
      <x:c r="R26" s="195"/>
      <x:c r="S26" s="195"/>
      <x:c r="T26" s="195"/>
      <x:c r="U26" s="195"/>
      <x:c r="V26" s="195"/>
      <x:c r="W26" s="195"/>
      <x:c r="X26" s="195"/>
      <x:c r="Y26" s="195"/>
      <x:c r="Z26" s="195"/>
    </x:row>
    <x:row r="27" ht="38" customHeight="1">
      <x:c r="A27" s="196" t="str">
        <x:v>Basisinkomen</x:v>
      </x:c>
      <x:c r="B27" s="196" t="str">
        <x:v>bedrag per volwassene en kind</x:v>
      </x:c>
      <x:c r="C27" s="196" t="str">
        <x:v>euro p.m.</x:v>
      </x:c>
      <x:c r="D27" s="196" t="str">
        <x:v>beleidsvariant</x:v>
      </x:c>
      <x:c r="E27" s="215" t="str"/>
      <x:c r="F27" s="196" t="str">
        <x:v>verplicht</x:v>
      </x:c>
      <x:c r="G27" s="222" t="str"/>
      <x:c r="H27" s="276" t="str"/>
      <x:c r="I27" s="195"/>
      <x:c r="J27" s="195"/>
      <x:c r="K27" s="195"/>
      <x:c r="L27" s="195"/>
      <x:c r="M27" s="195"/>
      <x:c r="N27" s="195"/>
      <x:c r="O27" s="195"/>
      <x:c r="P27" s="195"/>
      <x:c r="Q27" s="195"/>
      <x:c r="R27" s="195"/>
      <x:c r="S27" s="195"/>
      <x:c r="T27" s="195"/>
      <x:c r="U27" s="195"/>
      <x:c r="V27" s="195"/>
      <x:c r="W27" s="195"/>
      <x:c r="X27" s="195"/>
      <x:c r="Y27" s="195"/>
      <x:c r="Z27" s="195"/>
    </x:row>
    <x:row r="28" ht="38" customHeight="1">
      <x:c r="A28" s="196" t="str">
        <x:v>Financiering</x:v>
      </x:c>
      <x:c r="B28" s="196" t="str">
        <x:v>ontvangers, uitvoering, belastingen en besparingen</x:v>
      </x:c>
      <x:c r="C28" s="196" t="str">
        <x:v>aantal/euro p.j.</x:v>
      </x:c>
      <x:c r="D28" s="196" t="str">
        <x:v>CBS, begroting, uitvoeringsorganisaties</x:v>
      </x:c>
      <x:c r="E28" s="248" t="str"/>
      <x:c r="F28" s="196" t="str">
        <x:v>verplicht</x:v>
      </x:c>
      <x:c r="G28" s="227" t="str"/>
      <x:c r="H28" s="277" t="str"/>
      <x:c r="I28" s="195"/>
      <x:c r="J28" s="195"/>
      <x:c r="K28" s="195"/>
      <x:c r="L28" s="195"/>
      <x:c r="M28" s="195"/>
      <x:c r="N28" s="195"/>
      <x:c r="O28" s="195"/>
      <x:c r="P28" s="195"/>
      <x:c r="Q28" s="195"/>
      <x:c r="R28" s="195"/>
      <x:c r="S28" s="195"/>
      <x:c r="T28" s="195"/>
      <x:c r="U28" s="195"/>
      <x:c r="V28" s="195"/>
      <x:c r="W28" s="195"/>
      <x:c r="X28" s="195"/>
      <x:c r="Y28" s="195"/>
      <x:c r="Z28" s="195"/>
    </x:row>
    <x:row r="29">
      <x:c r="A29" s="196"/>
      <x:c r="B29" s="196"/>
      <x:c r="C29" s="196"/>
      <x:c r="D29" s="196"/>
      <x:c r="E29" s="196"/>
      <x:c r="F29" s="196"/>
      <x:c r="G29" s="196"/>
      <x:c r="H29" s="196"/>
      <x:c r="I29" s="195"/>
      <x:c r="J29" s="195"/>
      <x:c r="K29" s="195"/>
      <x:c r="L29" s="195"/>
      <x:c r="M29" s="195"/>
      <x:c r="N29" s="195"/>
      <x:c r="O29" s="195"/>
      <x:c r="P29" s="195"/>
      <x:c r="Q29" s="195"/>
      <x:c r="R29" s="195"/>
      <x:c r="S29" s="195"/>
      <x:c r="T29" s="195"/>
      <x:c r="U29" s="195"/>
      <x:c r="V29" s="195"/>
      <x:c r="W29" s="195"/>
      <x:c r="X29" s="195"/>
      <x:c r="Y29" s="195"/>
      <x:c r="Z29" s="195"/>
    </x:row>
    <x:row r="30" ht="23" customHeight="1">
      <x:c r="A30" s="118" t="str">
        <x:v>Publieke startbronnen</x:v>
      </x:c>
      <x:c r="B30" s="118"/>
      <x:c r="C30" s="118"/>
      <x:c r="D30" s="118"/>
      <x:c r="E30" s="118"/>
      <x:c r="F30" s="118"/>
      <x:c r="G30" s="118"/>
      <x:c r="H30" s="118"/>
      <x:c r="I30" s="195"/>
      <x:c r="J30" s="195"/>
      <x:c r="K30" s="195"/>
      <x:c r="L30" s="195"/>
      <x:c r="M30" s="195"/>
      <x:c r="N30" s="195"/>
      <x:c r="O30" s="195"/>
      <x:c r="P30" s="195"/>
      <x:c r="Q30" s="195"/>
      <x:c r="R30" s="195"/>
      <x:c r="S30" s="195"/>
      <x:c r="T30" s="195"/>
      <x:c r="U30" s="195"/>
      <x:c r="V30" s="195"/>
      <x:c r="W30" s="195"/>
      <x:c r="X30" s="195"/>
      <x:c r="Y30" s="195"/>
      <x:c r="Z30" s="195"/>
    </x:row>
    <x:row r="31">
      <x:c r="A31" s="20" t="str">
        <x:v>Bron</x:v>
      </x:c>
      <x:c r="B31" s="21" t="str">
        <x:v>Bruikbaar voor</x:v>
      </x:c>
      <x:c r="C31" s="22" t="str">
        <x:v>URL</x:v>
      </x:c>
      <x:c r="D31" s="211" t="str"/>
      <x:c r="E31" s="211" t="str"/>
      <x:c r="F31" s="211" t="str"/>
      <x:c r="G31" s="211" t="str"/>
      <x:c r="H31" s="211" t="str"/>
      <x:c r="I31" s="195"/>
      <x:c r="J31" s="195"/>
      <x:c r="K31" s="195"/>
      <x:c r="L31" s="195"/>
      <x:c r="M31" s="195"/>
      <x:c r="N31" s="195"/>
      <x:c r="O31" s="195"/>
      <x:c r="P31" s="195"/>
      <x:c r="Q31" s="195"/>
      <x:c r="R31" s="195"/>
      <x:c r="S31" s="195"/>
      <x:c r="T31" s="195"/>
      <x:c r="U31" s="195"/>
      <x:c r="V31" s="195"/>
      <x:c r="W31" s="195"/>
      <x:c r="X31" s="195"/>
      <x:c r="Y31" s="195"/>
      <x:c r="Z31" s="195"/>
    </x:row>
    <x:row r="32" ht="46" customHeight="1">
      <x:c r="A32" s="196" t="str">
        <x:v>OHCHR – adequate housing</x:v>
      </x:c>
      <x:c r="B32" s="196" t="str">
        <x:v>criteria: zekerheid, diensten, betaalbaarheid, bewoonbaarheid, toegankelijkheid, locatie en culturele geschiktheid</x:v>
      </x:c>
      <x:c r="C32" s="196" t="str">
        <x:v>https://www.ohchr.org/en/special-procedures/sr-housing/human-right-adequate-housing</x:v>
      </x:c>
      <x:c r="D32" s="211" t="str"/>
      <x:c r="E32" s="211" t="str"/>
      <x:c r="F32" s="211" t="str"/>
      <x:c r="G32" s="211" t="str"/>
      <x:c r="H32" s="211" t="str"/>
      <x:c r="I32" s="195"/>
      <x:c r="J32" s="195"/>
      <x:c r="K32" s="195"/>
      <x:c r="L32" s="195"/>
      <x:c r="M32" s="195"/>
      <x:c r="N32" s="195"/>
      <x:c r="O32" s="195"/>
      <x:c r="P32" s="195"/>
      <x:c r="Q32" s="195"/>
      <x:c r="R32" s="195"/>
      <x:c r="S32" s="195"/>
      <x:c r="T32" s="195"/>
      <x:c r="U32" s="195"/>
      <x:c r="V32" s="195"/>
      <x:c r="W32" s="195"/>
      <x:c r="X32" s="195"/>
      <x:c r="Y32" s="195"/>
      <x:c r="Z32" s="195"/>
    </x:row>
    <x:row r="33" ht="46" customHeight="1">
      <x:c r="A33" s="196" t="str">
        <x:v>Eurostat – housing indicators</x:v>
      </x:c>
      <x:c r="B33" s="196" t="str">
        <x:v>woonlasten, overbezetting, ernstige woondeprivatie</x:v>
      </x:c>
      <x:c r="C33" s="196" t="str">
        <x:v>https://ec.europa.eu/eurostat/web/housing/database</x:v>
      </x:c>
      <x:c r="D33" s="211" t="str"/>
      <x:c r="E33" s="211" t="str"/>
      <x:c r="F33" s="211" t="str"/>
      <x:c r="G33" s="211" t="str"/>
      <x:c r="H33" s="211" t="str"/>
      <x:c r="I33" s="195"/>
      <x:c r="J33" s="195"/>
      <x:c r="K33" s="195"/>
      <x:c r="L33" s="195"/>
      <x:c r="M33" s="195"/>
      <x:c r="N33" s="195"/>
      <x:c r="O33" s="195"/>
      <x:c r="P33" s="195"/>
      <x:c r="Q33" s="195"/>
      <x:c r="R33" s="195"/>
      <x:c r="S33" s="195"/>
      <x:c r="T33" s="195"/>
      <x:c r="U33" s="195"/>
      <x:c r="V33" s="195"/>
      <x:c r="W33" s="195"/>
      <x:c r="X33" s="195"/>
      <x:c r="Y33" s="195"/>
      <x:c r="Z33" s="195"/>
    </x:row>
    <x:row r="34" ht="46" customHeight="1">
      <x:c r="A34" s="196" t="str">
        <x:v>CBS – Woonbase</x:v>
      </x:c>
      <x:c r="B34" s="196" t="str">
        <x:v>woningen, huishoudens, verhuisbewegingen en eigendom</x:v>
      </x:c>
      <x:c r="C34" s="196" t="str">
        <x:v>https://www.cbs.nl/nl-nl/dossier/bouwen-en-wonen/woonbase</x:v>
      </x:c>
      <x:c r="D34" s="211" t="str"/>
      <x:c r="E34" s="211" t="str"/>
      <x:c r="F34" s="211" t="str"/>
      <x:c r="G34" s="211" t="str"/>
      <x:c r="H34" s="211" t="str"/>
      <x:c r="I34" s="195"/>
      <x:c r="J34" s="195"/>
      <x:c r="K34" s="195"/>
      <x:c r="L34" s="195"/>
      <x:c r="M34" s="195"/>
      <x:c r="N34" s="195"/>
      <x:c r="O34" s="195"/>
      <x:c r="P34" s="195"/>
      <x:c r="Q34" s="195"/>
      <x:c r="R34" s="195"/>
      <x:c r="S34" s="195"/>
      <x:c r="T34" s="195"/>
      <x:c r="U34" s="195"/>
      <x:c r="V34" s="195"/>
      <x:c r="W34" s="195"/>
      <x:c r="X34" s="195"/>
      <x:c r="Y34" s="195"/>
      <x:c r="Z34" s="195"/>
    </x:row>
    <x:row r="35" ht="46" customHeight="1">
      <x:c r="A35" s="196" t="str">
        <x:v>WoON</x:v>
      </x:c>
      <x:c r="B35" s="196" t="str">
        <x:v>woonwensen, woonsituatie, lasten en tevredenheid</x:v>
      </x:c>
      <x:c r="C35" s="196" t="str">
        <x:v>https://www.woononderzoek.nl/</x:v>
      </x:c>
      <x:c r="D35" s="211" t="str"/>
      <x:c r="E35" s="211" t="str"/>
      <x:c r="F35" s="211" t="str"/>
      <x:c r="G35" s="211" t="str"/>
      <x:c r="H35" s="211" t="str"/>
      <x:c r="I35" s="195"/>
      <x:c r="J35" s="195"/>
      <x:c r="K35" s="195"/>
      <x:c r="L35" s="195"/>
      <x:c r="M35" s="195"/>
      <x:c r="N35" s="195"/>
      <x:c r="O35" s="195"/>
      <x:c r="P35" s="195"/>
      <x:c r="Q35" s="195"/>
      <x:c r="R35" s="195"/>
      <x:c r="S35" s="195"/>
      <x:c r="T35" s="195"/>
      <x:c r="U35" s="195"/>
      <x:c r="V35" s="195"/>
      <x:c r="W35" s="195"/>
      <x:c r="X35" s="195"/>
      <x:c r="Y35" s="195"/>
      <x:c r="Z35" s="195"/>
    </x:row>
    <x:row r="36" ht="46" customHeight="1">
      <x:c r="A36" s="196" t="str">
        <x:v>BAG</x:v>
      </x:c>
      <x:c r="B36" s="196" t="str">
        <x:v>adres- en gebouwkenmerken</x:v>
      </x:c>
      <x:c r="C36" s="196" t="str">
        <x:v>https://www.kadaster.nl/zakelijk/registraties/basisregistraties/bag</x:v>
      </x:c>
      <x:c r="D36" s="211" t="str"/>
      <x:c r="E36" s="211" t="str"/>
      <x:c r="F36" s="211" t="str"/>
      <x:c r="G36" s="211" t="str"/>
      <x:c r="H36" s="211" t="str"/>
      <x:c r="I36" s="195"/>
      <x:c r="J36" s="195"/>
      <x:c r="K36" s="195"/>
      <x:c r="L36" s="195"/>
      <x:c r="M36" s="195"/>
      <x:c r="N36" s="195"/>
      <x:c r="O36" s="195"/>
      <x:c r="P36" s="195"/>
      <x:c r="Q36" s="195"/>
      <x:c r="R36" s="195"/>
      <x:c r="S36" s="195"/>
      <x:c r="T36" s="195"/>
      <x:c r="U36" s="195"/>
      <x:c r="V36" s="195"/>
      <x:c r="W36" s="195"/>
      <x:c r="X36" s="195"/>
      <x:c r="Y36" s="195"/>
      <x:c r="Z36" s="195"/>
    </x:row>
    <x:row r="37" ht="46" customHeight="1">
      <x:c r="A37" s="196" t="str">
        <x:v>EP-Online</x:v>
      </x:c>
      <x:c r="B37" s="196" t="str">
        <x:v>energieprestatie van gebouwen</x:v>
      </x:c>
      <x:c r="C37" s="196" t="str">
        <x:v>https://www.ep-online.nl/</x:v>
      </x:c>
      <x:c r="D37" s="211" t="str"/>
      <x:c r="E37" s="211" t="str"/>
      <x:c r="F37" s="211" t="str"/>
      <x:c r="G37" s="211" t="str"/>
      <x:c r="H37" s="211" t="str"/>
      <x:c r="I37" s="195"/>
      <x:c r="J37" s="195"/>
      <x:c r="K37" s="195"/>
      <x:c r="L37" s="195"/>
      <x:c r="M37" s="195"/>
      <x:c r="N37" s="195"/>
      <x:c r="O37" s="195"/>
      <x:c r="P37" s="195"/>
      <x:c r="Q37" s="195"/>
      <x:c r="R37" s="195"/>
      <x:c r="S37" s="195"/>
      <x:c r="T37" s="195"/>
      <x:c r="U37" s="195"/>
      <x:c r="V37" s="195"/>
      <x:c r="W37" s="195"/>
      <x:c r="X37" s="195"/>
      <x:c r="Y37" s="195"/>
      <x:c r="Z37" s="195"/>
    </x:row>
    <x:row r="38" ht="46" customHeight="1">
      <x:c r="A38" s="196" t="str">
        <x:v>Nibud</x:v>
      </x:c>
      <x:c r="B38" s="196" t="str">
        <x:v>minimum- en voorbeeldbegrotingen</x:v>
      </x:c>
      <x:c r="C38" s="196" t="str">
        <x:v>https://www.nibud.nl/</x:v>
      </x:c>
      <x:c r="D38" s="211" t="str"/>
      <x:c r="E38" s="211" t="str"/>
      <x:c r="F38" s="211" t="str"/>
      <x:c r="G38" s="211" t="str"/>
      <x:c r="H38" s="211" t="str"/>
      <x:c r="I38" s="195"/>
      <x:c r="J38" s="195"/>
      <x:c r="K38" s="195"/>
      <x:c r="L38" s="195"/>
      <x:c r="M38" s="195"/>
      <x:c r="N38" s="195"/>
      <x:c r="O38" s="195"/>
      <x:c r="P38" s="195"/>
      <x:c r="Q38" s="195"/>
      <x:c r="R38" s="195"/>
      <x:c r="S38" s="195"/>
      <x:c r="T38" s="195"/>
      <x:c r="U38" s="195"/>
      <x:c r="V38" s="195"/>
      <x:c r="W38" s="195"/>
      <x:c r="X38" s="195"/>
      <x:c r="Y38" s="195"/>
      <x:c r="Z38" s="195"/>
    </x:row>
    <x:row r="39">
      <x:c r="A39" s="196"/>
      <x:c r="B39" s="196"/>
      <x:c r="C39" s="196"/>
      <x:c r="D39" s="196"/>
      <x:c r="E39" s="196"/>
      <x:c r="F39" s="196"/>
      <x:c r="G39" s="196"/>
      <x:c r="H39" s="196"/>
      <x:c r="I39" s="195"/>
      <x:c r="J39" s="195"/>
      <x:c r="K39" s="195"/>
      <x:c r="L39" s="195"/>
      <x:c r="M39" s="195"/>
      <x:c r="N39" s="195"/>
      <x:c r="O39" s="195"/>
      <x:c r="P39" s="195"/>
      <x:c r="Q39" s="195"/>
      <x:c r="R39" s="195"/>
      <x:c r="S39" s="195"/>
      <x:c r="T39" s="195"/>
      <x:c r="U39" s="195"/>
      <x:c r="V39" s="195"/>
      <x:c r="W39" s="195"/>
      <x:c r="X39" s="195"/>
      <x:c r="Y39" s="195"/>
      <x:c r="Z39" s="195"/>
    </x:row>
    <x:row r="40" ht="23" customHeight="1">
      <x:c r="A40" s="118" t="str">
        <x:v>Kwaliteitsregels versie 0.1</x:v>
      </x:c>
      <x:c r="B40" s="118"/>
      <x:c r="C40" s="118"/>
      <x:c r="D40" s="118"/>
      <x:c r="E40" s="118"/>
      <x:c r="F40" s="118"/>
      <x:c r="G40" s="118"/>
      <x:c r="H40" s="118"/>
      <x:c r="I40" s="195"/>
      <x:c r="J40" s="195"/>
      <x:c r="K40" s="195"/>
      <x:c r="L40" s="195"/>
      <x:c r="M40" s="195"/>
      <x:c r="N40" s="195"/>
      <x:c r="O40" s="195"/>
      <x:c r="P40" s="195"/>
      <x:c r="Q40" s="195"/>
      <x:c r="R40" s="195"/>
      <x:c r="S40" s="195"/>
      <x:c r="T40" s="195"/>
      <x:c r="U40" s="195"/>
      <x:c r="V40" s="195"/>
      <x:c r="W40" s="195"/>
      <x:c r="X40" s="195"/>
      <x:c r="Y40" s="195"/>
      <x:c r="Z40" s="195"/>
    </x:row>
    <x:row r="41">
      <x:c r="A41" s="20" t="str">
        <x:v>Regel</x:v>
      </x:c>
      <x:c r="B41" s="22" t="str">
        <x:v>Toepassing</x:v>
      </x:c>
      <x:c r="C41" s="196" t="str"/>
      <x:c r="D41" s="196" t="str"/>
      <x:c r="E41" s="196" t="str"/>
      <x:c r="F41" s="196" t="str"/>
      <x:c r="G41" s="196" t="str"/>
      <x:c r="H41" s="196" t="str"/>
      <x:c r="I41" s="195"/>
      <x:c r="J41" s="195"/>
      <x:c r="K41" s="195"/>
      <x:c r="L41" s="195"/>
      <x:c r="M41" s="195"/>
      <x:c r="N41" s="195"/>
      <x:c r="O41" s="195"/>
      <x:c r="P41" s="195"/>
      <x:c r="Q41" s="195"/>
      <x:c r="R41" s="195"/>
      <x:c r="S41" s="195"/>
      <x:c r="T41" s="195"/>
      <x:c r="U41" s="195"/>
      <x:c r="V41" s="195"/>
      <x:c r="W41" s="195"/>
      <x:c r="X41" s="195"/>
      <x:c r="Y41" s="195"/>
      <x:c r="Z41" s="195"/>
    </x:row>
    <x:row r="42" ht="30" customHeight="1">
      <x:c r="A42" s="196" t="str">
        <x:v>Onbekend ≠ nul</x:v>
      </x:c>
      <x:c r="B42" s="211" t="str">
        <x:v>Laat een cel leeg en noteer waarom data ontbreken.</x:v>
      </x:c>
      <x:c r="C42" s="211" t="str"/>
      <x:c r="D42" s="211" t="str"/>
      <x:c r="E42" s="211" t="str"/>
      <x:c r="F42" s="211" t="str"/>
      <x:c r="G42" s="211" t="str"/>
      <x:c r="H42" s="211" t="str"/>
      <x:c r="I42" s="195"/>
      <x:c r="J42" s="195"/>
      <x:c r="K42" s="195"/>
      <x:c r="L42" s="195"/>
      <x:c r="M42" s="195"/>
      <x:c r="N42" s="195"/>
      <x:c r="O42" s="195"/>
      <x:c r="P42" s="195"/>
      <x:c r="Q42" s="195"/>
      <x:c r="R42" s="195"/>
      <x:c r="S42" s="195"/>
      <x:c r="T42" s="195"/>
      <x:c r="U42" s="195"/>
      <x:c r="V42" s="195"/>
      <x:c r="W42" s="195"/>
      <x:c r="X42" s="195"/>
      <x:c r="Y42" s="195"/>
      <x:c r="Z42" s="195"/>
    </x:row>
    <x:row r="43" ht="30" customHeight="1">
      <x:c r="A43" s="196" t="str">
        <x:v>Zelfde peildatum</x:v>
      </x:c>
      <x:c r="B43" s="211" t="str">
        <x:v>Breng data naar dezelfde periode of beschrijf de correctie.</x:v>
      </x:c>
      <x:c r="C43" s="211" t="str"/>
      <x:c r="D43" s="211" t="str"/>
      <x:c r="E43" s="211" t="str"/>
      <x:c r="F43" s="211" t="str"/>
      <x:c r="G43" s="211" t="str"/>
      <x:c r="H43" s="211" t="str"/>
      <x:c r="I43" s="195"/>
      <x:c r="J43" s="195"/>
      <x:c r="K43" s="195"/>
      <x:c r="L43" s="195"/>
      <x:c r="M43" s="195"/>
      <x:c r="N43" s="195"/>
      <x:c r="O43" s="195"/>
      <x:c r="P43" s="195"/>
      <x:c r="Q43" s="195"/>
      <x:c r="R43" s="195"/>
      <x:c r="S43" s="195"/>
      <x:c r="T43" s="195"/>
      <x:c r="U43" s="195"/>
      <x:c r="V43" s="195"/>
      <x:c r="W43" s="195"/>
      <x:c r="X43" s="195"/>
      <x:c r="Y43" s="195"/>
      <x:c r="Z43" s="195"/>
    </x:row>
    <x:row r="44" ht="30" customHeight="1">
      <x:c r="A44" s="196" t="str">
        <x:v>Geen dubbeltelling</x:v>
      </x:c>
      <x:c r="B44" s="211" t="str">
        <x:v>Woningen en huishoudens worden één keer aan een groep toegewezen.</x:v>
      </x:c>
      <x:c r="C44" s="211" t="str"/>
      <x:c r="D44" s="211" t="str"/>
      <x:c r="E44" s="211" t="str"/>
      <x:c r="F44" s="211" t="str"/>
      <x:c r="G44" s="211" t="str"/>
      <x:c r="H44" s="211" t="str"/>
      <x:c r="I44" s="195"/>
      <x:c r="J44" s="195"/>
      <x:c r="K44" s="195"/>
      <x:c r="L44" s="195"/>
      <x:c r="M44" s="195"/>
      <x:c r="N44" s="195"/>
      <x:c r="O44" s="195"/>
      <x:c r="P44" s="195"/>
      <x:c r="Q44" s="195"/>
      <x:c r="R44" s="195"/>
      <x:c r="S44" s="195"/>
      <x:c r="T44" s="195"/>
      <x:c r="U44" s="195"/>
      <x:c r="V44" s="195"/>
      <x:c r="W44" s="195"/>
      <x:c r="X44" s="195"/>
      <x:c r="Y44" s="195"/>
      <x:c r="Z44" s="195"/>
    </x:row>
    <x:row r="45" ht="30" customHeight="1">
      <x:c r="A45" s="196" t="str">
        <x:v>Feit en norm scheiden</x:v>
      </x:c>
      <x:c r="B45" s="211" t="str">
        <x:v>Data beschrijven de werkelijkheid; betaalbaarheids- en minimumgrenzen zijn expliciete normen.</x:v>
      </x:c>
      <x:c r="C45" s="211" t="str"/>
      <x:c r="D45" s="211" t="str"/>
      <x:c r="E45" s="211" t="str"/>
      <x:c r="F45" s="211" t="str"/>
      <x:c r="G45" s="211" t="str"/>
      <x:c r="H45" s="211" t="str"/>
      <x:c r="I45" s="195"/>
      <x:c r="J45" s="195"/>
      <x:c r="K45" s="195"/>
      <x:c r="L45" s="195"/>
      <x:c r="M45" s="195"/>
      <x:c r="N45" s="195"/>
      <x:c r="O45" s="195"/>
      <x:c r="P45" s="195"/>
      <x:c r="Q45" s="195"/>
      <x:c r="R45" s="195"/>
      <x:c r="S45" s="195"/>
      <x:c r="T45" s="195"/>
      <x:c r="U45" s="195"/>
      <x:c r="V45" s="195"/>
      <x:c r="W45" s="195"/>
      <x:c r="X45" s="195"/>
      <x:c r="Y45" s="195"/>
      <x:c r="Z45" s="195"/>
    </x:row>
    <x:row r="46" ht="30" customHeight="1">
      <x:c r="A46" s="196" t="str">
        <x:v>Verdeling tonen</x:v>
      </x:c>
      <x:c r="B46" s="211" t="str">
        <x:v>Publiceer gemiddelden én groepen met de laagste dekking.</x:v>
      </x:c>
      <x:c r="C46" s="211" t="str"/>
      <x:c r="D46" s="211" t="str"/>
      <x:c r="E46" s="211" t="str"/>
      <x:c r="F46" s="211" t="str"/>
      <x:c r="G46" s="211" t="str"/>
      <x:c r="H46" s="211" t="str"/>
      <x:c r="I46" s="195"/>
      <x:c r="J46" s="195"/>
      <x:c r="K46" s="195"/>
      <x:c r="L46" s="195"/>
      <x:c r="M46" s="195"/>
      <x:c r="N46" s="195"/>
      <x:c r="O46" s="195"/>
      <x:c r="P46" s="195"/>
      <x:c r="Q46" s="195"/>
      <x:c r="R46" s="195"/>
      <x:c r="S46" s="195"/>
      <x:c r="T46" s="195"/>
      <x:c r="U46" s="195"/>
      <x:c r="V46" s="195"/>
      <x:c r="W46" s="195"/>
      <x:c r="X46" s="195"/>
      <x:c r="Y46" s="195"/>
      <x:c r="Z46" s="195"/>
    </x:row>
    <x:row r="47" ht="30" customHeight="1">
      <x:c r="A47" s="196" t="str">
        <x:v>Scenario’s</x:v>
      </x:c>
      <x:c r="B47" s="211" t="str">
        <x:v>Toon meerdere varianten; één gekozen bedrag is geen neutraal rekenfeit.</x:v>
      </x:c>
      <x:c r="C47" s="211" t="str"/>
      <x:c r="D47" s="211" t="str"/>
      <x:c r="E47" s="211" t="str"/>
      <x:c r="F47" s="211" t="str"/>
      <x:c r="G47" s="211" t="str"/>
      <x:c r="H47" s="211" t="str"/>
      <x:c r="I47" s="195"/>
      <x:c r="J47" s="195"/>
      <x:c r="K47" s="195"/>
      <x:c r="L47" s="195"/>
      <x:c r="M47" s="195"/>
      <x:c r="N47" s="195"/>
      <x:c r="O47" s="195"/>
      <x:c r="P47" s="195"/>
      <x:c r="Q47" s="195"/>
      <x:c r="R47" s="195"/>
      <x:c r="S47" s="195"/>
      <x:c r="T47" s="195"/>
      <x:c r="U47" s="195"/>
      <x:c r="V47" s="195"/>
      <x:c r="W47" s="195"/>
      <x:c r="X47" s="195"/>
      <x:c r="Y47" s="195"/>
      <x:c r="Z47" s="195"/>
    </x:row>
    <x:row r="48" ht="30" customHeight="1">
      <x:c r="A48" s="196" t="str">
        <x:v>Reproduceerbaar</x:v>
      </x:c>
      <x:c r="B48" s="211" t="str">
        <x:v>Bewaar bronbestand, bewerking, verantwoordelijke en datum.</x:v>
      </x:c>
      <x:c r="C48" s="211" t="str"/>
      <x:c r="D48" s="211" t="str"/>
      <x:c r="E48" s="211" t="str"/>
      <x:c r="F48" s="211" t="str"/>
      <x:c r="G48" s="211" t="str"/>
      <x:c r="H48" s="211" t="str"/>
      <x:c r="I48" s="195"/>
      <x:c r="J48" s="195"/>
      <x:c r="K48" s="195"/>
      <x:c r="L48" s="195"/>
      <x:c r="M48" s="195"/>
      <x:c r="N48" s="195"/>
      <x:c r="O48" s="195"/>
      <x:c r="P48" s="195"/>
      <x:c r="Q48" s="195"/>
      <x:c r="R48" s="195"/>
      <x:c r="S48" s="195"/>
      <x:c r="T48" s="195"/>
      <x:c r="U48" s="195"/>
      <x:c r="V48" s="195"/>
      <x:c r="W48" s="195"/>
      <x:c r="X48" s="195"/>
      <x:c r="Y48" s="195"/>
      <x:c r="Z48" s="195"/>
    </x:row>
    <x:row r="49">
      <x:c r="A49" s="195"/>
      <x:c r="B49" s="195"/>
      <x:c r="C49" s="195"/>
      <x:c r="D49" s="195"/>
      <x:c r="E49" s="195"/>
      <x:c r="F49" s="195"/>
      <x:c r="G49" s="195"/>
      <x:c r="H49" s="195"/>
      <x:c r="I49" s="195"/>
      <x:c r="J49" s="195"/>
      <x:c r="K49" s="195"/>
      <x:c r="L49" s="195"/>
      <x:c r="M49" s="195"/>
      <x:c r="N49" s="195"/>
      <x:c r="O49" s="195"/>
      <x:c r="P49" s="195"/>
      <x:c r="Q49" s="195"/>
      <x:c r="R49" s="195"/>
      <x:c r="S49" s="195"/>
      <x:c r="T49" s="195"/>
      <x:c r="U49" s="195"/>
      <x:c r="V49" s="195"/>
      <x:c r="W49" s="195"/>
      <x:c r="X49" s="195"/>
      <x:c r="Y49" s="195"/>
      <x:c r="Z49" s="195"/>
    </x:row>
    <x:row r="50">
      <x:c r="A50" s="195"/>
      <x:c r="B50" s="195"/>
      <x:c r="C50" s="195"/>
      <x:c r="D50" s="195"/>
      <x:c r="E50" s="195"/>
      <x:c r="F50" s="195"/>
      <x:c r="G50" s="195"/>
      <x:c r="H50" s="195"/>
      <x:c r="I50" s="195"/>
      <x:c r="J50" s="195"/>
      <x:c r="K50" s="195"/>
      <x:c r="L50" s="195"/>
      <x:c r="M50" s="195"/>
      <x:c r="N50" s="195"/>
      <x:c r="O50" s="195"/>
      <x:c r="P50" s="195"/>
      <x:c r="Q50" s="195"/>
      <x:c r="R50" s="195"/>
      <x:c r="S50" s="195"/>
      <x:c r="T50" s="195"/>
      <x:c r="U50" s="195"/>
      <x:c r="V50" s="195"/>
      <x:c r="W50" s="195"/>
      <x:c r="X50" s="195"/>
      <x:c r="Y50" s="195"/>
      <x:c r="Z50" s="195"/>
    </x:row>
    <x:row r="51">
      <x:c r="A51" s="195"/>
      <x:c r="B51" s="195"/>
      <x:c r="C51" s="195"/>
      <x:c r="D51" s="195"/>
      <x:c r="E51" s="195"/>
      <x:c r="F51" s="195"/>
      <x:c r="G51" s="195"/>
      <x:c r="H51" s="195"/>
      <x:c r="I51" s="195"/>
      <x:c r="J51" s="195"/>
      <x:c r="K51" s="195"/>
      <x:c r="L51" s="195"/>
      <x:c r="M51" s="195"/>
      <x:c r="N51" s="195"/>
      <x:c r="O51" s="195"/>
      <x:c r="P51" s="195"/>
      <x:c r="Q51" s="195"/>
      <x:c r="R51" s="195"/>
      <x:c r="S51" s="195"/>
      <x:c r="T51" s="195"/>
      <x:c r="U51" s="195"/>
      <x:c r="V51" s="195"/>
      <x:c r="W51" s="195"/>
      <x:c r="X51" s="195"/>
      <x:c r="Y51" s="195"/>
      <x:c r="Z51" s="195"/>
    </x:row>
    <x:row r="52">
      <x:c r="A52" s="195"/>
      <x:c r="B52" s="195"/>
      <x:c r="C52" s="195"/>
      <x:c r="D52" s="195"/>
      <x:c r="E52" s="195"/>
      <x:c r="F52" s="195"/>
      <x:c r="G52" s="195"/>
      <x:c r="H52" s="195"/>
      <x:c r="I52" s="195"/>
      <x:c r="J52" s="195"/>
      <x:c r="K52" s="195"/>
      <x:c r="L52" s="195"/>
      <x:c r="M52" s="195"/>
      <x:c r="N52" s="195"/>
      <x:c r="O52" s="195"/>
      <x:c r="P52" s="195"/>
      <x:c r="Q52" s="195"/>
      <x:c r="R52" s="195"/>
      <x:c r="S52" s="195"/>
      <x:c r="T52" s="195"/>
      <x:c r="U52" s="195"/>
      <x:c r="V52" s="195"/>
      <x:c r="W52" s="195"/>
      <x:c r="X52" s="195"/>
      <x:c r="Y52" s="195"/>
      <x:c r="Z52" s="195"/>
    </x:row>
    <x:row r="53">
      <x:c r="A53" s="195"/>
      <x:c r="B53" s="195"/>
      <x:c r="C53" s="195"/>
      <x:c r="D53" s="195"/>
      <x:c r="E53" s="195"/>
      <x:c r="F53" s="195"/>
      <x:c r="G53" s="195"/>
      <x:c r="H53" s="195"/>
      <x:c r="I53" s="195"/>
      <x:c r="J53" s="195"/>
      <x:c r="K53" s="195"/>
      <x:c r="L53" s="195"/>
      <x:c r="M53" s="195"/>
      <x:c r="N53" s="195"/>
      <x:c r="O53" s="195"/>
      <x:c r="P53" s="195"/>
      <x:c r="Q53" s="195"/>
      <x:c r="R53" s="195"/>
      <x:c r="S53" s="195"/>
      <x:c r="T53" s="195"/>
      <x:c r="U53" s="195"/>
      <x:c r="V53" s="195"/>
      <x:c r="W53" s="195"/>
      <x:c r="X53" s="195"/>
      <x:c r="Y53" s="195"/>
      <x:c r="Z53" s="195"/>
    </x:row>
    <x:row r="54">
      <x:c r="A54" s="195"/>
      <x:c r="B54" s="195"/>
      <x:c r="C54" s="195"/>
      <x:c r="D54" s="195"/>
      <x:c r="E54" s="195"/>
      <x:c r="F54" s="195"/>
      <x:c r="G54" s="195"/>
      <x:c r="H54" s="195"/>
      <x:c r="I54" s="195"/>
      <x:c r="J54" s="195"/>
      <x:c r="K54" s="195"/>
      <x:c r="L54" s="195"/>
      <x:c r="M54" s="195"/>
      <x:c r="N54" s="195"/>
      <x:c r="O54" s="195"/>
      <x:c r="P54" s="195"/>
      <x:c r="Q54" s="195"/>
      <x:c r="R54" s="195"/>
      <x:c r="S54" s="195"/>
      <x:c r="T54" s="195"/>
      <x:c r="U54" s="195"/>
      <x:c r="V54" s="195"/>
      <x:c r="W54" s="195"/>
      <x:c r="X54" s="195"/>
      <x:c r="Y54" s="195"/>
      <x:c r="Z54" s="195"/>
    </x:row>
    <x:row r="55">
      <x:c r="A55" s="195"/>
      <x:c r="B55" s="195"/>
      <x:c r="C55" s="195"/>
      <x:c r="D55" s="195"/>
      <x:c r="E55" s="195"/>
      <x:c r="F55" s="195"/>
      <x:c r="G55" s="195"/>
      <x:c r="H55" s="195"/>
      <x:c r="I55" s="195"/>
      <x:c r="J55" s="195"/>
      <x:c r="K55" s="195"/>
      <x:c r="L55" s="195"/>
      <x:c r="M55" s="195"/>
      <x:c r="N55" s="195"/>
      <x:c r="O55" s="195"/>
      <x:c r="P55" s="195"/>
      <x:c r="Q55" s="195"/>
      <x:c r="R55" s="195"/>
      <x:c r="S55" s="195"/>
      <x:c r="T55" s="195"/>
      <x:c r="U55" s="195"/>
      <x:c r="V55" s="195"/>
      <x:c r="W55" s="195"/>
      <x:c r="X55" s="195"/>
      <x:c r="Y55" s="195"/>
      <x:c r="Z55" s="195"/>
    </x:row>
    <x:row r="56">
      <x:c r="A56" s="195"/>
      <x:c r="B56" s="195"/>
      <x:c r="C56" s="195"/>
      <x:c r="D56" s="195"/>
      <x:c r="E56" s="195"/>
      <x:c r="F56" s="195"/>
      <x:c r="G56" s="195"/>
      <x:c r="H56" s="195"/>
      <x:c r="I56" s="195"/>
      <x:c r="J56" s="195"/>
      <x:c r="K56" s="195"/>
      <x:c r="L56" s="195"/>
      <x:c r="M56" s="195"/>
      <x:c r="N56" s="195"/>
      <x:c r="O56" s="195"/>
      <x:c r="P56" s="195"/>
      <x:c r="Q56" s="195"/>
      <x:c r="R56" s="195"/>
      <x:c r="S56" s="195"/>
      <x:c r="T56" s="195"/>
      <x:c r="U56" s="195"/>
      <x:c r="V56" s="195"/>
      <x:c r="W56" s="195"/>
      <x:c r="X56" s="195"/>
      <x:c r="Y56" s="195"/>
      <x:c r="Z56" s="195"/>
    </x:row>
    <x:row r="57">
      <x:c r="A57" s="195"/>
      <x:c r="B57" s="195"/>
      <x:c r="C57" s="195"/>
      <x:c r="D57" s="195"/>
      <x:c r="E57" s="195"/>
      <x:c r="F57" s="195"/>
      <x:c r="G57" s="195"/>
      <x:c r="H57" s="195"/>
      <x:c r="I57" s="195"/>
      <x:c r="J57" s="195"/>
      <x:c r="K57" s="195"/>
      <x:c r="L57" s="195"/>
      <x:c r="M57" s="195"/>
      <x:c r="N57" s="195"/>
      <x:c r="O57" s="195"/>
      <x:c r="P57" s="195"/>
      <x:c r="Q57" s="195"/>
      <x:c r="R57" s="195"/>
      <x:c r="S57" s="195"/>
      <x:c r="T57" s="195"/>
      <x:c r="U57" s="195"/>
      <x:c r="V57" s="195"/>
      <x:c r="W57" s="195"/>
      <x:c r="X57" s="195"/>
      <x:c r="Y57" s="195"/>
      <x:c r="Z57" s="195"/>
    </x:row>
    <x:row r="58">
      <x:c r="A58" s="195"/>
      <x:c r="B58" s="195"/>
      <x:c r="C58" s="195"/>
      <x:c r="D58" s="195"/>
      <x:c r="E58" s="195"/>
      <x:c r="F58" s="195"/>
      <x:c r="G58" s="195"/>
      <x:c r="H58" s="195"/>
      <x:c r="I58" s="195"/>
      <x:c r="J58" s="195"/>
      <x:c r="K58" s="195"/>
      <x:c r="L58" s="195"/>
      <x:c r="M58" s="195"/>
      <x:c r="N58" s="195"/>
      <x:c r="O58" s="195"/>
      <x:c r="P58" s="195"/>
      <x:c r="Q58" s="195"/>
      <x:c r="R58" s="195"/>
      <x:c r="S58" s="195"/>
      <x:c r="T58" s="195"/>
      <x:c r="U58" s="195"/>
      <x:c r="V58" s="195"/>
      <x:c r="W58" s="195"/>
      <x:c r="X58" s="195"/>
      <x:c r="Y58" s="195"/>
      <x:c r="Z58" s="195"/>
    </x:row>
    <x:row r="59">
      <x:c r="A59" s="195"/>
      <x:c r="B59" s="195"/>
      <x:c r="C59" s="195"/>
      <x:c r="D59" s="195"/>
      <x:c r="E59" s="195"/>
      <x:c r="F59" s="195"/>
      <x:c r="G59" s="195"/>
      <x:c r="H59" s="195"/>
      <x:c r="I59" s="195"/>
      <x:c r="J59" s="195"/>
      <x:c r="K59" s="195"/>
      <x:c r="L59" s="195"/>
      <x:c r="M59" s="195"/>
      <x:c r="N59" s="195"/>
      <x:c r="O59" s="195"/>
      <x:c r="P59" s="195"/>
      <x:c r="Q59" s="195"/>
      <x:c r="R59" s="195"/>
      <x:c r="S59" s="195"/>
      <x:c r="T59" s="195"/>
      <x:c r="U59" s="195"/>
      <x:c r="V59" s="195"/>
      <x:c r="W59" s="195"/>
      <x:c r="X59" s="195"/>
      <x:c r="Y59" s="195"/>
      <x:c r="Z59" s="195"/>
    </x:row>
    <x:row r="60">
      <x:c r="A60" s="195"/>
      <x:c r="B60" s="195"/>
      <x:c r="C60" s="195"/>
      <x:c r="D60" s="195"/>
      <x:c r="E60" s="195"/>
      <x:c r="F60" s="195"/>
      <x:c r="G60" s="195"/>
      <x:c r="H60" s="195"/>
      <x:c r="I60" s="195"/>
      <x:c r="J60" s="195"/>
      <x:c r="K60" s="195"/>
      <x:c r="L60" s="195"/>
      <x:c r="M60" s="195"/>
      <x:c r="N60" s="195"/>
      <x:c r="O60" s="195"/>
      <x:c r="P60" s="195"/>
      <x:c r="Q60" s="195"/>
      <x:c r="R60" s="195"/>
      <x:c r="S60" s="195"/>
      <x:c r="T60" s="195"/>
      <x:c r="U60" s="195"/>
      <x:c r="V60" s="195"/>
      <x:c r="W60" s="195"/>
      <x:c r="X60" s="195"/>
      <x:c r="Y60" s="195"/>
      <x:c r="Z60" s="195"/>
    </x:row>
    <x:row r="61">
      <x:c r="A61" s="195"/>
      <x:c r="B61" s="195"/>
      <x:c r="C61" s="195"/>
      <x:c r="D61" s="195"/>
      <x:c r="E61" s="195"/>
      <x:c r="F61" s="195"/>
      <x:c r="G61" s="195"/>
      <x:c r="H61" s="195"/>
      <x:c r="I61" s="195"/>
      <x:c r="J61" s="195"/>
      <x:c r="K61" s="195"/>
      <x:c r="L61" s="195"/>
      <x:c r="M61" s="195"/>
      <x:c r="N61" s="195"/>
      <x:c r="O61" s="195"/>
      <x:c r="P61" s="195"/>
      <x:c r="Q61" s="195"/>
      <x:c r="R61" s="195"/>
      <x:c r="S61" s="195"/>
      <x:c r="T61" s="195"/>
      <x:c r="U61" s="195"/>
      <x:c r="V61" s="195"/>
      <x:c r="W61" s="195"/>
      <x:c r="X61" s="195"/>
      <x:c r="Y61" s="195"/>
      <x:c r="Z61" s="195"/>
    </x:row>
    <x:row r="62">
      <x:c r="A62" s="195"/>
      <x:c r="B62" s="195"/>
      <x:c r="C62" s="195"/>
      <x:c r="D62" s="195"/>
      <x:c r="E62" s="195"/>
      <x:c r="F62" s="195"/>
      <x:c r="G62" s="195"/>
      <x:c r="H62" s="195"/>
      <x:c r="I62" s="195"/>
      <x:c r="J62" s="195"/>
      <x:c r="K62" s="195"/>
      <x:c r="L62" s="195"/>
      <x:c r="M62" s="195"/>
      <x:c r="N62" s="195"/>
      <x:c r="O62" s="195"/>
      <x:c r="P62" s="195"/>
      <x:c r="Q62" s="195"/>
      <x:c r="R62" s="195"/>
      <x:c r="S62" s="195"/>
      <x:c r="T62" s="195"/>
      <x:c r="U62" s="195"/>
      <x:c r="V62" s="195"/>
      <x:c r="W62" s="195"/>
      <x:c r="X62" s="195"/>
      <x:c r="Y62" s="195"/>
      <x:c r="Z62" s="195"/>
    </x:row>
    <x:row r="63">
      <x:c r="A63" s="195"/>
      <x:c r="B63" s="195"/>
      <x:c r="C63" s="195"/>
      <x:c r="D63" s="195"/>
      <x:c r="E63" s="195"/>
      <x:c r="F63" s="195"/>
      <x:c r="G63" s="195"/>
      <x:c r="H63" s="195"/>
      <x:c r="I63" s="195"/>
      <x:c r="J63" s="195"/>
      <x:c r="K63" s="195"/>
      <x:c r="L63" s="195"/>
      <x:c r="M63" s="195"/>
      <x:c r="N63" s="195"/>
      <x:c r="O63" s="195"/>
      <x:c r="P63" s="195"/>
      <x:c r="Q63" s="195"/>
      <x:c r="R63" s="195"/>
      <x:c r="S63" s="195"/>
      <x:c r="T63" s="195"/>
      <x:c r="U63" s="195"/>
      <x:c r="V63" s="195"/>
      <x:c r="W63" s="195"/>
      <x:c r="X63" s="195"/>
      <x:c r="Y63" s="195"/>
      <x:c r="Z63" s="195"/>
    </x:row>
    <x:row r="64">
      <x:c r="A64" s="195"/>
      <x:c r="B64" s="195"/>
      <x:c r="C64" s="195"/>
      <x:c r="D64" s="195"/>
      <x:c r="E64" s="195"/>
      <x:c r="F64" s="195"/>
      <x:c r="G64" s="195"/>
      <x:c r="H64" s="195"/>
      <x:c r="I64" s="195"/>
      <x:c r="J64" s="195"/>
      <x:c r="K64" s="195"/>
      <x:c r="L64" s="195"/>
      <x:c r="M64" s="195"/>
      <x:c r="N64" s="195"/>
      <x:c r="O64" s="195"/>
      <x:c r="P64" s="195"/>
      <x:c r="Q64" s="195"/>
      <x:c r="R64" s="195"/>
      <x:c r="S64" s="195"/>
      <x:c r="T64" s="195"/>
      <x:c r="U64" s="195"/>
      <x:c r="V64" s="195"/>
      <x:c r="W64" s="195"/>
      <x:c r="X64" s="195"/>
      <x:c r="Y64" s="195"/>
      <x:c r="Z64" s="195"/>
    </x:row>
    <x:row r="65">
      <x:c r="A65" s="195"/>
      <x:c r="B65" s="195"/>
      <x:c r="C65" s="195"/>
      <x:c r="D65" s="195"/>
      <x:c r="E65" s="195"/>
      <x:c r="F65" s="195"/>
      <x:c r="G65" s="195"/>
      <x:c r="H65" s="195"/>
      <x:c r="I65" s="195"/>
      <x:c r="J65" s="195"/>
      <x:c r="K65" s="195"/>
      <x:c r="L65" s="195"/>
      <x:c r="M65" s="195"/>
      <x:c r="N65" s="195"/>
      <x:c r="O65" s="195"/>
      <x:c r="P65" s="195"/>
      <x:c r="Q65" s="195"/>
      <x:c r="R65" s="195"/>
      <x:c r="S65" s="195"/>
      <x:c r="T65" s="195"/>
      <x:c r="U65" s="195"/>
      <x:c r="V65" s="195"/>
      <x:c r="W65" s="195"/>
      <x:c r="X65" s="195"/>
      <x:c r="Y65" s="195"/>
      <x:c r="Z65" s="195"/>
    </x:row>
    <x:row r="66">
      <x:c r="A66" s="195"/>
      <x:c r="B66" s="195"/>
      <x:c r="C66" s="195"/>
      <x:c r="D66" s="195"/>
      <x:c r="E66" s="195"/>
      <x:c r="F66" s="195"/>
      <x:c r="G66" s="195"/>
      <x:c r="H66" s="195"/>
      <x:c r="I66" s="195"/>
      <x:c r="J66" s="195"/>
      <x:c r="K66" s="195"/>
      <x:c r="L66" s="195"/>
      <x:c r="M66" s="195"/>
      <x:c r="N66" s="195"/>
      <x:c r="O66" s="195"/>
      <x:c r="P66" s="195"/>
      <x:c r="Q66" s="195"/>
      <x:c r="R66" s="195"/>
      <x:c r="S66" s="195"/>
      <x:c r="T66" s="195"/>
      <x:c r="U66" s="195"/>
      <x:c r="V66" s="195"/>
      <x:c r="W66" s="195"/>
      <x:c r="X66" s="195"/>
      <x:c r="Y66" s="195"/>
      <x:c r="Z66" s="195"/>
    </x:row>
    <x:row r="67">
      <x:c r="A67" s="195"/>
      <x:c r="B67" s="195"/>
      <x:c r="C67" s="195"/>
      <x:c r="D67" s="195"/>
      <x:c r="E67" s="195"/>
      <x:c r="F67" s="195"/>
      <x:c r="G67" s="195"/>
      <x:c r="H67" s="195"/>
      <x:c r="I67" s="195"/>
      <x:c r="J67" s="195"/>
      <x:c r="K67" s="195"/>
      <x:c r="L67" s="195"/>
      <x:c r="M67" s="195"/>
      <x:c r="N67" s="195"/>
      <x:c r="O67" s="195"/>
      <x:c r="P67" s="195"/>
      <x:c r="Q67" s="195"/>
      <x:c r="R67" s="195"/>
      <x:c r="S67" s="195"/>
      <x:c r="T67" s="195"/>
      <x:c r="U67" s="195"/>
      <x:c r="V67" s="195"/>
      <x:c r="W67" s="195"/>
      <x:c r="X67" s="195"/>
      <x:c r="Y67" s="195"/>
      <x:c r="Z67" s="195"/>
    </x:row>
    <x:row r="68">
      <x:c r="A68" s="195"/>
      <x:c r="B68" s="195"/>
      <x:c r="C68" s="195"/>
      <x:c r="D68" s="195"/>
      <x:c r="E68" s="195"/>
      <x:c r="F68" s="195"/>
      <x:c r="G68" s="195"/>
      <x:c r="H68" s="195"/>
      <x:c r="I68" s="195"/>
      <x:c r="J68" s="195"/>
      <x:c r="K68" s="195"/>
      <x:c r="L68" s="195"/>
      <x:c r="M68" s="195"/>
      <x:c r="N68" s="195"/>
      <x:c r="O68" s="195"/>
      <x:c r="P68" s="195"/>
      <x:c r="Q68" s="195"/>
      <x:c r="R68" s="195"/>
      <x:c r="S68" s="195"/>
      <x:c r="T68" s="195"/>
      <x:c r="U68" s="195"/>
      <x:c r="V68" s="195"/>
      <x:c r="W68" s="195"/>
      <x:c r="X68" s="195"/>
      <x:c r="Y68" s="195"/>
      <x:c r="Z68" s="195"/>
    </x:row>
    <x:row r="69">
      <x:c r="A69" s="195"/>
      <x:c r="B69" s="195"/>
      <x:c r="C69" s="195"/>
      <x:c r="D69" s="195"/>
      <x:c r="E69" s="195"/>
      <x:c r="F69" s="195"/>
      <x:c r="G69" s="195"/>
      <x:c r="H69" s="195"/>
      <x:c r="I69" s="195"/>
      <x:c r="J69" s="195"/>
      <x:c r="K69" s="195"/>
      <x:c r="L69" s="195"/>
      <x:c r="M69" s="195"/>
      <x:c r="N69" s="195"/>
      <x:c r="O69" s="195"/>
      <x:c r="P69" s="195"/>
      <x:c r="Q69" s="195"/>
      <x:c r="R69" s="195"/>
      <x:c r="S69" s="195"/>
      <x:c r="T69" s="195"/>
      <x:c r="U69" s="195"/>
      <x:c r="V69" s="195"/>
      <x:c r="W69" s="195"/>
      <x:c r="X69" s="195"/>
      <x:c r="Y69" s="195"/>
      <x:c r="Z69" s="195"/>
    </x:row>
    <x:row r="70">
      <x:c r="A70" s="195"/>
      <x:c r="B70" s="195"/>
      <x:c r="C70" s="195"/>
      <x:c r="D70" s="195"/>
      <x:c r="E70" s="195"/>
      <x:c r="F70" s="195"/>
      <x:c r="G70" s="195"/>
      <x:c r="H70" s="195"/>
      <x:c r="I70" s="195"/>
      <x:c r="J70" s="195"/>
      <x:c r="K70" s="195"/>
      <x:c r="L70" s="195"/>
      <x:c r="M70" s="195"/>
      <x:c r="N70" s="195"/>
      <x:c r="O70" s="195"/>
      <x:c r="P70" s="195"/>
      <x:c r="Q70" s="195"/>
      <x:c r="R70" s="195"/>
      <x:c r="S70" s="195"/>
      <x:c r="T70" s="195"/>
      <x:c r="U70" s="195"/>
      <x:c r="V70" s="195"/>
      <x:c r="W70" s="195"/>
      <x:c r="X70" s="195"/>
      <x:c r="Y70" s="195"/>
      <x:c r="Z70" s="195"/>
    </x:row>
    <x:row r="71">
      <x:c r="A71" s="195"/>
      <x:c r="B71" s="195"/>
      <x:c r="C71" s="195"/>
      <x:c r="D71" s="195"/>
      <x:c r="E71" s="195"/>
      <x:c r="F71" s="195"/>
      <x:c r="G71" s="195"/>
      <x:c r="H71" s="195"/>
      <x:c r="I71" s="195"/>
      <x:c r="J71" s="195"/>
      <x:c r="K71" s="195"/>
      <x:c r="L71" s="195"/>
      <x:c r="M71" s="195"/>
      <x:c r="N71" s="195"/>
      <x:c r="O71" s="195"/>
      <x:c r="P71" s="195"/>
      <x:c r="Q71" s="195"/>
      <x:c r="R71" s="195"/>
      <x:c r="S71" s="195"/>
      <x:c r="T71" s="195"/>
      <x:c r="U71" s="195"/>
      <x:c r="V71" s="195"/>
      <x:c r="W71" s="195"/>
      <x:c r="X71" s="195"/>
      <x:c r="Y71" s="195"/>
      <x:c r="Z71" s="195"/>
    </x:row>
    <x:row r="72">
      <x:c r="A72" s="195"/>
      <x:c r="B72" s="195"/>
      <x:c r="C72" s="195"/>
      <x:c r="D72" s="195"/>
      <x:c r="E72" s="195"/>
      <x:c r="F72" s="195"/>
      <x:c r="G72" s="195"/>
      <x:c r="H72" s="195"/>
      <x:c r="I72" s="195"/>
      <x:c r="J72" s="195"/>
      <x:c r="K72" s="195"/>
      <x:c r="L72" s="195"/>
      <x:c r="M72" s="195"/>
      <x:c r="N72" s="195"/>
      <x:c r="O72" s="195"/>
      <x:c r="P72" s="195"/>
      <x:c r="Q72" s="195"/>
      <x:c r="R72" s="195"/>
      <x:c r="S72" s="195"/>
      <x:c r="T72" s="195"/>
      <x:c r="U72" s="195"/>
      <x:c r="V72" s="195"/>
      <x:c r="W72" s="195"/>
      <x:c r="X72" s="195"/>
      <x:c r="Y72" s="195"/>
      <x:c r="Z72" s="195"/>
    </x:row>
    <x:row r="73">
      <x:c r="A73" s="195"/>
      <x:c r="B73" s="195"/>
      <x:c r="C73" s="195"/>
      <x:c r="D73" s="195"/>
      <x:c r="E73" s="195"/>
      <x:c r="F73" s="195"/>
      <x:c r="G73" s="195"/>
      <x:c r="H73" s="195"/>
      <x:c r="I73" s="195"/>
      <x:c r="J73" s="195"/>
      <x:c r="K73" s="195"/>
      <x:c r="L73" s="195"/>
      <x:c r="M73" s="195"/>
      <x:c r="N73" s="195"/>
      <x:c r="O73" s="195"/>
      <x:c r="P73" s="195"/>
      <x:c r="Q73" s="195"/>
      <x:c r="R73" s="195"/>
      <x:c r="S73" s="195"/>
      <x:c r="T73" s="195"/>
      <x:c r="U73" s="195"/>
      <x:c r="V73" s="195"/>
      <x:c r="W73" s="195"/>
      <x:c r="X73" s="195"/>
      <x:c r="Y73" s="195"/>
      <x:c r="Z73" s="195"/>
    </x:row>
    <x:row r="74">
      <x:c r="A74" s="195"/>
      <x:c r="B74" s="195"/>
      <x:c r="C74" s="195"/>
      <x:c r="D74" s="195"/>
      <x:c r="E74" s="195"/>
      <x:c r="F74" s="195"/>
      <x:c r="G74" s="195"/>
      <x:c r="H74" s="195"/>
      <x:c r="I74" s="195"/>
      <x:c r="J74" s="195"/>
      <x:c r="K74" s="195"/>
      <x:c r="L74" s="195"/>
      <x:c r="M74" s="195"/>
      <x:c r="N74" s="195"/>
      <x:c r="O74" s="195"/>
      <x:c r="P74" s="195"/>
      <x:c r="Q74" s="195"/>
      <x:c r="R74" s="195"/>
      <x:c r="S74" s="195"/>
      <x:c r="T74" s="195"/>
      <x:c r="U74" s="195"/>
      <x:c r="V74" s="195"/>
      <x:c r="W74" s="195"/>
      <x:c r="X74" s="195"/>
      <x:c r="Y74" s="195"/>
      <x:c r="Z74" s="195"/>
    </x:row>
    <x:row r="75">
      <x:c r="A75" s="195"/>
      <x:c r="B75" s="195"/>
      <x:c r="C75" s="195"/>
      <x:c r="D75" s="195"/>
      <x:c r="E75" s="195"/>
      <x:c r="F75" s="195"/>
      <x:c r="G75" s="195"/>
      <x:c r="H75" s="195"/>
      <x:c r="I75" s="195"/>
      <x:c r="J75" s="195"/>
      <x:c r="K75" s="195"/>
      <x:c r="L75" s="195"/>
      <x:c r="M75" s="195"/>
      <x:c r="N75" s="195"/>
      <x:c r="O75" s="195"/>
      <x:c r="P75" s="195"/>
      <x:c r="Q75" s="195"/>
      <x:c r="R75" s="195"/>
      <x:c r="S75" s="195"/>
      <x:c r="T75" s="195"/>
      <x:c r="U75" s="195"/>
      <x:c r="V75" s="195"/>
      <x:c r="W75" s="195"/>
      <x:c r="X75" s="195"/>
      <x:c r="Y75" s="195"/>
      <x:c r="Z75" s="195"/>
    </x:row>
    <x:row r="76">
      <x:c r="A76" s="195"/>
      <x:c r="B76" s="195"/>
      <x:c r="C76" s="195"/>
      <x:c r="D76" s="195"/>
      <x:c r="E76" s="195"/>
      <x:c r="F76" s="195"/>
      <x:c r="G76" s="195"/>
      <x:c r="H76" s="195"/>
      <x:c r="I76" s="195"/>
      <x:c r="J76" s="195"/>
      <x:c r="K76" s="195"/>
      <x:c r="L76" s="195"/>
      <x:c r="M76" s="195"/>
      <x:c r="N76" s="195"/>
      <x:c r="O76" s="195"/>
      <x:c r="P76" s="195"/>
      <x:c r="Q76" s="195"/>
      <x:c r="R76" s="195"/>
      <x:c r="S76" s="195"/>
      <x:c r="T76" s="195"/>
      <x:c r="U76" s="195"/>
      <x:c r="V76" s="195"/>
      <x:c r="W76" s="195"/>
      <x:c r="X76" s="195"/>
      <x:c r="Y76" s="195"/>
      <x:c r="Z76" s="195"/>
    </x:row>
    <x:row r="77">
      <x:c r="A77" s="195"/>
      <x:c r="B77" s="195"/>
      <x:c r="C77" s="195"/>
      <x:c r="D77" s="195"/>
      <x:c r="E77" s="195"/>
      <x:c r="F77" s="195"/>
      <x:c r="G77" s="195"/>
      <x:c r="H77" s="195"/>
      <x:c r="I77" s="195"/>
      <x:c r="J77" s="195"/>
      <x:c r="K77" s="195"/>
      <x:c r="L77" s="195"/>
      <x:c r="M77" s="195"/>
      <x:c r="N77" s="195"/>
      <x:c r="O77" s="195"/>
      <x:c r="P77" s="195"/>
      <x:c r="Q77" s="195"/>
      <x:c r="R77" s="195"/>
      <x:c r="S77" s="195"/>
      <x:c r="T77" s="195"/>
      <x:c r="U77" s="195"/>
      <x:c r="V77" s="195"/>
      <x:c r="W77" s="195"/>
      <x:c r="X77" s="195"/>
      <x:c r="Y77" s="195"/>
      <x:c r="Z77" s="195"/>
    </x:row>
    <x:row r="78">
      <x:c r="A78" s="195"/>
      <x:c r="B78" s="195"/>
      <x:c r="C78" s="195"/>
      <x:c r="D78" s="195"/>
      <x:c r="E78" s="195"/>
      <x:c r="F78" s="195"/>
      <x:c r="G78" s="195"/>
      <x:c r="H78" s="195"/>
      <x:c r="I78" s="195"/>
      <x:c r="J78" s="195"/>
      <x:c r="K78" s="195"/>
      <x:c r="L78" s="195"/>
      <x:c r="M78" s="195"/>
      <x:c r="N78" s="195"/>
      <x:c r="O78" s="195"/>
      <x:c r="P78" s="195"/>
      <x:c r="Q78" s="195"/>
      <x:c r="R78" s="195"/>
      <x:c r="S78" s="195"/>
      <x:c r="T78" s="195"/>
      <x:c r="U78" s="195"/>
      <x:c r="V78" s="195"/>
      <x:c r="W78" s="195"/>
      <x:c r="X78" s="195"/>
      <x:c r="Y78" s="195"/>
      <x:c r="Z78" s="195"/>
    </x:row>
    <x:row r="79">
      <x:c r="A79" s="195"/>
      <x:c r="B79" s="195"/>
      <x:c r="C79" s="195"/>
      <x:c r="D79" s="195"/>
      <x:c r="E79" s="195"/>
      <x:c r="F79" s="195"/>
      <x:c r="G79" s="195"/>
      <x:c r="H79" s="195"/>
      <x:c r="I79" s="195"/>
      <x:c r="J79" s="195"/>
      <x:c r="K79" s="195"/>
      <x:c r="L79" s="195"/>
      <x:c r="M79" s="195"/>
      <x:c r="N79" s="195"/>
      <x:c r="O79" s="195"/>
      <x:c r="P79" s="195"/>
      <x:c r="Q79" s="195"/>
      <x:c r="R79" s="195"/>
      <x:c r="S79" s="195"/>
      <x:c r="T79" s="195"/>
      <x:c r="U79" s="195"/>
      <x:c r="V79" s="195"/>
      <x:c r="W79" s="195"/>
      <x:c r="X79" s="195"/>
      <x:c r="Y79" s="195"/>
      <x:c r="Z79" s="195"/>
    </x:row>
    <x:row r="80">
      <x:c r="A80" s="195"/>
      <x:c r="B80" s="195"/>
      <x:c r="C80" s="195"/>
      <x:c r="D80" s="195"/>
      <x:c r="E80" s="195"/>
      <x:c r="F80" s="195"/>
      <x:c r="G80" s="195"/>
      <x:c r="H80" s="195"/>
      <x:c r="I80" s="195"/>
      <x:c r="J80" s="195"/>
      <x:c r="K80" s="195"/>
      <x:c r="L80" s="195"/>
      <x:c r="M80" s="195"/>
      <x:c r="N80" s="195"/>
      <x:c r="O80" s="195"/>
      <x:c r="P80" s="195"/>
      <x:c r="Q80" s="195"/>
      <x:c r="R80" s="195"/>
      <x:c r="S80" s="195"/>
      <x:c r="T80" s="195"/>
      <x:c r="U80" s="195"/>
      <x:c r="V80" s="195"/>
      <x:c r="W80" s="195"/>
      <x:c r="X80" s="195"/>
      <x:c r="Y80" s="195"/>
      <x:c r="Z80" s="195"/>
    </x:row>
    <x:row r="81">
      <x:c r="A81" s="195"/>
      <x:c r="B81" s="195"/>
      <x:c r="C81" s="195"/>
      <x:c r="D81" s="195"/>
      <x:c r="E81" s="195"/>
      <x:c r="F81" s="195"/>
      <x:c r="G81" s="195"/>
      <x:c r="H81" s="195"/>
      <x:c r="I81" s="195"/>
      <x:c r="J81" s="195"/>
      <x:c r="K81" s="195"/>
      <x:c r="L81" s="195"/>
      <x:c r="M81" s="195"/>
      <x:c r="N81" s="195"/>
      <x:c r="O81" s="195"/>
      <x:c r="P81" s="195"/>
      <x:c r="Q81" s="195"/>
      <x:c r="R81" s="195"/>
      <x:c r="S81" s="195"/>
      <x:c r="T81" s="195"/>
      <x:c r="U81" s="195"/>
      <x:c r="V81" s="195"/>
      <x:c r="W81" s="195"/>
      <x:c r="X81" s="195"/>
      <x:c r="Y81" s="195"/>
      <x:c r="Z81" s="195"/>
    </x:row>
    <x:row r="82">
      <x:c r="A82" s="195"/>
      <x:c r="B82" s="195"/>
      <x:c r="C82" s="195"/>
      <x:c r="D82" s="195"/>
      <x:c r="E82" s="195"/>
      <x:c r="F82" s="195"/>
      <x:c r="G82" s="195"/>
      <x:c r="H82" s="195"/>
      <x:c r="I82" s="195"/>
      <x:c r="J82" s="195"/>
      <x:c r="K82" s="195"/>
      <x:c r="L82" s="195"/>
      <x:c r="M82" s="195"/>
      <x:c r="N82" s="195"/>
      <x:c r="O82" s="195"/>
      <x:c r="P82" s="195"/>
      <x:c r="Q82" s="195"/>
      <x:c r="R82" s="195"/>
      <x:c r="S82" s="195"/>
      <x:c r="T82" s="195"/>
      <x:c r="U82" s="195"/>
      <x:c r="V82" s="195"/>
      <x:c r="W82" s="195"/>
      <x:c r="X82" s="195"/>
      <x:c r="Y82" s="195"/>
      <x:c r="Z82" s="195"/>
    </x:row>
    <x:row r="83">
      <x:c r="A83" s="195"/>
      <x:c r="B83" s="195"/>
      <x:c r="C83" s="195"/>
      <x:c r="D83" s="195"/>
      <x:c r="E83" s="195"/>
      <x:c r="F83" s="195"/>
      <x:c r="G83" s="195"/>
      <x:c r="H83" s="195"/>
      <x:c r="I83" s="195"/>
      <x:c r="J83" s="195"/>
      <x:c r="K83" s="195"/>
      <x:c r="L83" s="195"/>
      <x:c r="M83" s="195"/>
      <x:c r="N83" s="195"/>
      <x:c r="O83" s="195"/>
      <x:c r="P83" s="195"/>
      <x:c r="Q83" s="195"/>
      <x:c r="R83" s="195"/>
      <x:c r="S83" s="195"/>
      <x:c r="T83" s="195"/>
      <x:c r="U83" s="195"/>
      <x:c r="V83" s="195"/>
      <x:c r="W83" s="195"/>
      <x:c r="X83" s="195"/>
      <x:c r="Y83" s="195"/>
      <x:c r="Z83" s="195"/>
    </x:row>
    <x:row r="84">
      <x:c r="A84" s="195"/>
      <x:c r="B84" s="195"/>
      <x:c r="C84" s="195"/>
      <x:c r="D84" s="195"/>
      <x:c r="E84" s="195"/>
      <x:c r="F84" s="195"/>
      <x:c r="G84" s="195"/>
      <x:c r="H84" s="195"/>
      <x:c r="I84" s="195"/>
      <x:c r="J84" s="195"/>
      <x:c r="K84" s="195"/>
      <x:c r="L84" s="195"/>
      <x:c r="M84" s="195"/>
      <x:c r="N84" s="195"/>
      <x:c r="O84" s="195"/>
      <x:c r="P84" s="195"/>
      <x:c r="Q84" s="195"/>
      <x:c r="R84" s="195"/>
      <x:c r="S84" s="195"/>
      <x:c r="T84" s="195"/>
      <x:c r="U84" s="195"/>
      <x:c r="V84" s="195"/>
      <x:c r="W84" s="195"/>
      <x:c r="X84" s="195"/>
      <x:c r="Y84" s="195"/>
      <x:c r="Z84" s="195"/>
    </x:row>
    <x:row r="85">
      <x:c r="A85" s="195"/>
      <x:c r="B85" s="195"/>
      <x:c r="C85" s="195"/>
      <x:c r="D85" s="195"/>
      <x:c r="E85" s="195"/>
      <x:c r="F85" s="195"/>
      <x:c r="G85" s="195"/>
      <x:c r="H85" s="195"/>
      <x:c r="I85" s="195"/>
      <x:c r="J85" s="195"/>
      <x:c r="K85" s="195"/>
      <x:c r="L85" s="195"/>
      <x:c r="M85" s="195"/>
      <x:c r="N85" s="195"/>
      <x:c r="O85" s="195"/>
      <x:c r="P85" s="195"/>
      <x:c r="Q85" s="195"/>
      <x:c r="R85" s="195"/>
      <x:c r="S85" s="195"/>
      <x:c r="T85" s="195"/>
      <x:c r="U85" s="195"/>
      <x:c r="V85" s="195"/>
      <x:c r="W85" s="195"/>
      <x:c r="X85" s="195"/>
      <x:c r="Y85" s="195"/>
      <x:c r="Z85" s="195"/>
    </x:row>
    <x:row r="86">
      <x:c r="A86" s="195"/>
      <x:c r="B86" s="195"/>
      <x:c r="C86" s="195"/>
      <x:c r="D86" s="195"/>
      <x:c r="E86" s="195"/>
      <x:c r="F86" s="195"/>
      <x:c r="G86" s="195"/>
      <x:c r="H86" s="195"/>
      <x:c r="I86" s="195"/>
      <x:c r="J86" s="195"/>
      <x:c r="K86" s="195"/>
      <x:c r="L86" s="195"/>
      <x:c r="M86" s="195"/>
      <x:c r="N86" s="195"/>
      <x:c r="O86" s="195"/>
      <x:c r="P86" s="195"/>
      <x:c r="Q86" s="195"/>
      <x:c r="R86" s="195"/>
      <x:c r="S86" s="195"/>
      <x:c r="T86" s="195"/>
      <x:c r="U86" s="195"/>
      <x:c r="V86" s="195"/>
      <x:c r="W86" s="195"/>
      <x:c r="X86" s="195"/>
      <x:c r="Y86" s="195"/>
      <x:c r="Z86" s="195"/>
    </x:row>
    <x:row r="87">
      <x:c r="A87" s="195"/>
      <x:c r="B87" s="195"/>
      <x:c r="C87" s="195"/>
      <x:c r="D87" s="195"/>
      <x:c r="E87" s="195"/>
      <x:c r="F87" s="195"/>
      <x:c r="G87" s="195"/>
      <x:c r="H87" s="195"/>
      <x:c r="I87" s="195"/>
      <x:c r="J87" s="195"/>
      <x:c r="K87" s="195"/>
      <x:c r="L87" s="195"/>
      <x:c r="M87" s="195"/>
      <x:c r="N87" s="195"/>
      <x:c r="O87" s="195"/>
      <x:c r="P87" s="195"/>
      <x:c r="Q87" s="195"/>
      <x:c r="R87" s="195"/>
      <x:c r="S87" s="195"/>
      <x:c r="T87" s="195"/>
      <x:c r="U87" s="195"/>
      <x:c r="V87" s="195"/>
      <x:c r="W87" s="195"/>
      <x:c r="X87" s="195"/>
      <x:c r="Y87" s="195"/>
      <x:c r="Z87" s="195"/>
    </x:row>
    <x:row r="88">
      <x:c r="A88" s="195"/>
      <x:c r="B88" s="195"/>
      <x:c r="C88" s="195"/>
      <x:c r="D88" s="195"/>
      <x:c r="E88" s="195"/>
      <x:c r="F88" s="195"/>
      <x:c r="G88" s="195"/>
      <x:c r="H88" s="195"/>
      <x:c r="I88" s="195"/>
      <x:c r="J88" s="195"/>
      <x:c r="K88" s="195"/>
      <x:c r="L88" s="195"/>
      <x:c r="M88" s="195"/>
      <x:c r="N88" s="195"/>
      <x:c r="O88" s="195"/>
      <x:c r="P88" s="195"/>
      <x:c r="Q88" s="195"/>
      <x:c r="R88" s="195"/>
      <x:c r="S88" s="195"/>
      <x:c r="T88" s="195"/>
      <x:c r="U88" s="195"/>
      <x:c r="V88" s="195"/>
      <x:c r="W88" s="195"/>
      <x:c r="X88" s="195"/>
      <x:c r="Y88" s="195"/>
      <x:c r="Z88" s="195"/>
    </x:row>
    <x:row r="89">
      <x:c r="A89" s="195"/>
      <x:c r="B89" s="195"/>
      <x:c r="C89" s="195"/>
      <x:c r="D89" s="195"/>
      <x:c r="E89" s="195"/>
      <x:c r="F89" s="195"/>
      <x:c r="G89" s="195"/>
      <x:c r="H89" s="195"/>
      <x:c r="I89" s="195"/>
      <x:c r="J89" s="195"/>
      <x:c r="K89" s="195"/>
      <x:c r="L89" s="195"/>
      <x:c r="M89" s="195"/>
      <x:c r="N89" s="195"/>
      <x:c r="O89" s="195"/>
      <x:c r="P89" s="195"/>
      <x:c r="Q89" s="195"/>
      <x:c r="R89" s="195"/>
      <x:c r="S89" s="195"/>
      <x:c r="T89" s="195"/>
      <x:c r="U89" s="195"/>
      <x:c r="V89" s="195"/>
      <x:c r="W89" s="195"/>
      <x:c r="X89" s="195"/>
      <x:c r="Y89" s="195"/>
      <x:c r="Z89" s="195"/>
    </x:row>
    <x:row r="90">
      <x:c r="A90" s="195"/>
      <x:c r="B90" s="195"/>
      <x:c r="C90" s="195"/>
      <x:c r="D90" s="195"/>
      <x:c r="E90" s="195"/>
      <x:c r="F90" s="195"/>
      <x:c r="G90" s="195"/>
      <x:c r="H90" s="195"/>
      <x:c r="I90" s="195"/>
      <x:c r="J90" s="195"/>
      <x:c r="K90" s="195"/>
      <x:c r="L90" s="195"/>
      <x:c r="M90" s="195"/>
      <x:c r="N90" s="195"/>
      <x:c r="O90" s="195"/>
      <x:c r="P90" s="195"/>
      <x:c r="Q90" s="195"/>
      <x:c r="R90" s="195"/>
      <x:c r="S90" s="195"/>
      <x:c r="T90" s="195"/>
      <x:c r="U90" s="195"/>
      <x:c r="V90" s="195"/>
      <x:c r="W90" s="195"/>
      <x:c r="X90" s="195"/>
      <x:c r="Y90" s="195"/>
      <x:c r="Z90" s="195"/>
    </x:row>
    <x:row r="91">
      <x:c r="A91" s="195"/>
      <x:c r="B91" s="195"/>
      <x:c r="C91" s="195"/>
      <x:c r="D91" s="195"/>
      <x:c r="E91" s="195"/>
      <x:c r="F91" s="195"/>
      <x:c r="G91" s="195"/>
      <x:c r="H91" s="195"/>
      <x:c r="I91" s="195"/>
      <x:c r="J91" s="195"/>
      <x:c r="K91" s="195"/>
      <x:c r="L91" s="195"/>
      <x:c r="M91" s="195"/>
      <x:c r="N91" s="195"/>
      <x:c r="O91" s="195"/>
      <x:c r="P91" s="195"/>
      <x:c r="Q91" s="195"/>
      <x:c r="R91" s="195"/>
      <x:c r="S91" s="195"/>
      <x:c r="T91" s="195"/>
      <x:c r="U91" s="195"/>
      <x:c r="V91" s="195"/>
      <x:c r="W91" s="195"/>
      <x:c r="X91" s="195"/>
      <x:c r="Y91" s="195"/>
      <x:c r="Z91" s="195"/>
    </x:row>
    <x:row r="92">
      <x:c r="A92" s="195"/>
      <x:c r="B92" s="195"/>
      <x:c r="C92" s="195"/>
      <x:c r="D92" s="195"/>
      <x:c r="E92" s="195"/>
      <x:c r="F92" s="195"/>
      <x:c r="G92" s="195"/>
      <x:c r="H92" s="195"/>
      <x:c r="I92" s="195"/>
      <x:c r="J92" s="195"/>
      <x:c r="K92" s="195"/>
      <x:c r="L92" s="195"/>
      <x:c r="M92" s="195"/>
      <x:c r="N92" s="195"/>
      <x:c r="O92" s="195"/>
      <x:c r="P92" s="195"/>
      <x:c r="Q92" s="195"/>
      <x:c r="R92" s="195"/>
      <x:c r="S92" s="195"/>
      <x:c r="T92" s="195"/>
      <x:c r="U92" s="195"/>
      <x:c r="V92" s="195"/>
      <x:c r="W92" s="195"/>
      <x:c r="X92" s="195"/>
      <x:c r="Y92" s="195"/>
      <x:c r="Z92" s="195"/>
    </x:row>
    <x:row r="93">
      <x:c r="A93" s="195"/>
      <x:c r="B93" s="195"/>
      <x:c r="C93" s="195"/>
      <x:c r="D93" s="195"/>
      <x:c r="E93" s="195"/>
      <x:c r="F93" s="195"/>
      <x:c r="G93" s="195"/>
      <x:c r="H93" s="195"/>
      <x:c r="I93" s="195"/>
      <x:c r="J93" s="195"/>
      <x:c r="K93" s="195"/>
      <x:c r="L93" s="195"/>
      <x:c r="M93" s="195"/>
      <x:c r="N93" s="195"/>
      <x:c r="O93" s="195"/>
      <x:c r="P93" s="195"/>
      <x:c r="Q93" s="195"/>
      <x:c r="R93" s="195"/>
      <x:c r="S93" s="195"/>
      <x:c r="T93" s="195"/>
      <x:c r="U93" s="195"/>
      <x:c r="V93" s="195"/>
      <x:c r="W93" s="195"/>
      <x:c r="X93" s="195"/>
      <x:c r="Y93" s="195"/>
      <x:c r="Z93" s="195"/>
    </x:row>
    <x:row r="94">
      <x:c r="A94" s="195"/>
      <x:c r="B94" s="195"/>
      <x:c r="C94" s="195"/>
      <x:c r="D94" s="195"/>
      <x:c r="E94" s="195"/>
      <x:c r="F94" s="195"/>
      <x:c r="G94" s="195"/>
      <x:c r="H94" s="195"/>
      <x:c r="I94" s="195"/>
      <x:c r="J94" s="195"/>
      <x:c r="K94" s="195"/>
      <x:c r="L94" s="195"/>
      <x:c r="M94" s="195"/>
      <x:c r="N94" s="195"/>
      <x:c r="O94" s="195"/>
      <x:c r="P94" s="195"/>
      <x:c r="Q94" s="195"/>
      <x:c r="R94" s="195"/>
      <x:c r="S94" s="195"/>
      <x:c r="T94" s="195"/>
      <x:c r="U94" s="195"/>
      <x:c r="V94" s="195"/>
      <x:c r="W94" s="195"/>
      <x:c r="X94" s="195"/>
      <x:c r="Y94" s="195"/>
      <x:c r="Z94" s="195"/>
    </x:row>
    <x:row r="95">
      <x:c r="A95" s="195"/>
      <x:c r="B95" s="195"/>
      <x:c r="C95" s="195"/>
      <x:c r="D95" s="195"/>
      <x:c r="E95" s="195"/>
      <x:c r="F95" s="195"/>
      <x:c r="G95" s="195"/>
      <x:c r="H95" s="195"/>
      <x:c r="I95" s="195"/>
      <x:c r="J95" s="195"/>
      <x:c r="K95" s="195"/>
      <x:c r="L95" s="195"/>
      <x:c r="M95" s="195"/>
      <x:c r="N95" s="195"/>
      <x:c r="O95" s="195"/>
      <x:c r="P95" s="195"/>
      <x:c r="Q95" s="195"/>
      <x:c r="R95" s="195"/>
      <x:c r="S95" s="195"/>
      <x:c r="T95" s="195"/>
      <x:c r="U95" s="195"/>
      <x:c r="V95" s="195"/>
      <x:c r="W95" s="195"/>
      <x:c r="X95" s="195"/>
      <x:c r="Y95" s="195"/>
      <x:c r="Z95" s="195"/>
    </x:row>
    <x:row r="96">
      <x:c r="A96" s="195"/>
      <x:c r="B96" s="195"/>
      <x:c r="C96" s="195"/>
      <x:c r="D96" s="195"/>
      <x:c r="E96" s="195"/>
      <x:c r="F96" s="195"/>
      <x:c r="G96" s="195"/>
      <x:c r="H96" s="195"/>
      <x:c r="I96" s="195"/>
      <x:c r="J96" s="195"/>
      <x:c r="K96" s="195"/>
      <x:c r="L96" s="195"/>
      <x:c r="M96" s="195"/>
      <x:c r="N96" s="195"/>
      <x:c r="O96" s="195"/>
      <x:c r="P96" s="195"/>
      <x:c r="Q96" s="195"/>
      <x:c r="R96" s="195"/>
      <x:c r="S96" s="195"/>
      <x:c r="T96" s="195"/>
      <x:c r="U96" s="195"/>
      <x:c r="V96" s="195"/>
      <x:c r="W96" s="195"/>
      <x:c r="X96" s="195"/>
      <x:c r="Y96" s="195"/>
      <x:c r="Z96" s="195"/>
    </x:row>
    <x:row r="97">
      <x:c r="A97" s="195"/>
      <x:c r="B97" s="195"/>
      <x:c r="C97" s="195"/>
      <x:c r="D97" s="195"/>
      <x:c r="E97" s="195"/>
      <x:c r="F97" s="195"/>
      <x:c r="G97" s="195"/>
      <x:c r="H97" s="195"/>
      <x:c r="I97" s="195"/>
      <x:c r="J97" s="195"/>
      <x:c r="K97" s="195"/>
      <x:c r="L97" s="195"/>
      <x:c r="M97" s="195"/>
      <x:c r="N97" s="195"/>
      <x:c r="O97" s="195"/>
      <x:c r="P97" s="195"/>
      <x:c r="Q97" s="195"/>
      <x:c r="R97" s="195"/>
      <x:c r="S97" s="195"/>
      <x:c r="T97" s="195"/>
      <x:c r="U97" s="195"/>
      <x:c r="V97" s="195"/>
      <x:c r="W97" s="195"/>
      <x:c r="X97" s="195"/>
      <x:c r="Y97" s="195"/>
      <x:c r="Z97" s="195"/>
    </x:row>
    <x:row r="98">
      <x:c r="A98" s="195"/>
      <x:c r="B98" s="195"/>
      <x:c r="C98" s="195"/>
      <x:c r="D98" s="195"/>
      <x:c r="E98" s="195"/>
      <x:c r="F98" s="195"/>
      <x:c r="G98" s="195"/>
      <x:c r="H98" s="195"/>
      <x:c r="I98" s="195"/>
      <x:c r="J98" s="195"/>
      <x:c r="K98" s="195"/>
      <x:c r="L98" s="195"/>
      <x:c r="M98" s="195"/>
      <x:c r="N98" s="195"/>
      <x:c r="O98" s="195"/>
      <x:c r="P98" s="195"/>
      <x:c r="Q98" s="195"/>
      <x:c r="R98" s="195"/>
      <x:c r="S98" s="195"/>
      <x:c r="T98" s="195"/>
      <x:c r="U98" s="195"/>
      <x:c r="V98" s="195"/>
      <x:c r="W98" s="195"/>
      <x:c r="X98" s="195"/>
      <x:c r="Y98" s="195"/>
      <x:c r="Z98" s="195"/>
    </x:row>
    <x:row r="99">
      <x:c r="A99" s="195"/>
      <x:c r="B99" s="195"/>
      <x:c r="C99" s="195"/>
      <x:c r="D99" s="195"/>
      <x:c r="E99" s="195"/>
      <x:c r="F99" s="195"/>
      <x:c r="G99" s="195"/>
      <x:c r="H99" s="195"/>
      <x:c r="I99" s="195"/>
      <x:c r="J99" s="195"/>
      <x:c r="K99" s="195"/>
      <x:c r="L99" s="195"/>
      <x:c r="M99" s="195"/>
      <x:c r="N99" s="195"/>
      <x:c r="O99" s="195"/>
      <x:c r="P99" s="195"/>
      <x:c r="Q99" s="195"/>
      <x:c r="R99" s="195"/>
      <x:c r="S99" s="195"/>
      <x:c r="T99" s="195"/>
      <x:c r="U99" s="195"/>
      <x:c r="V99" s="195"/>
      <x:c r="W99" s="195"/>
      <x:c r="X99" s="195"/>
      <x:c r="Y99" s="195"/>
      <x:c r="Z99" s="195"/>
    </x:row>
    <x:row r="100">
      <x:c r="A100" s="195"/>
      <x:c r="B100" s="195"/>
      <x:c r="C100" s="195"/>
      <x:c r="D100" s="195"/>
      <x:c r="E100" s="195"/>
      <x:c r="F100" s="195"/>
      <x:c r="G100" s="195"/>
      <x:c r="H100" s="195"/>
      <x:c r="I100" s="195"/>
      <x:c r="J100" s="195"/>
      <x:c r="K100" s="195"/>
      <x:c r="L100" s="195"/>
      <x:c r="M100" s="195"/>
      <x:c r="N100" s="195"/>
      <x:c r="O100" s="195"/>
      <x:c r="P100" s="195"/>
      <x:c r="Q100" s="195"/>
      <x:c r="R100" s="195"/>
      <x:c r="S100" s="195"/>
      <x:c r="T100" s="195"/>
      <x:c r="U100" s="195"/>
      <x:c r="V100" s="195"/>
      <x:c r="W100" s="195"/>
      <x:c r="X100" s="195"/>
      <x:c r="Y100" s="195"/>
      <x:c r="Z100" s="195"/>
    </x:row>
  </x:sheetData>
  <x:mergeCells>
    <x:mergeCell ref="A2:H2"/>
  </x:mergeCells>
  <x:pageMargins left="0.7" right="0.7" top="0.75" bottom="0.75" header="0.3" footer="0.3"/>
</x:worksheet>
</file>